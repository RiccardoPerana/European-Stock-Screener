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puts" sheetId="1" state="visible" r:id="rId3"/>
    <sheet name="RefData" sheetId="2" state="visible" r:id="rId4"/>
    <sheet name="Valuation" sheetId="3" state="visible" r:id="rId5"/>
    <sheet name="Sensitivity" sheetId="4" state="visible" r:id="rId6"/>
    <sheet name="Instruction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<sst xmlns="http://schemas.openxmlformats.org/spreadsheetml/2006/main" count="289" uniqueCount="266">
  <si>
    <t xml:space="preserve">COMPANY VALUATION MODEL v2.2  —  INPUTS</t>
  </si>
  <si>
    <t xml:space="preserve">Every input is either taken directly from the financial statements or is an industry-, country- or market-wide parameter. No company-specific judgement values are used anywhere in this workbook.</t>
  </si>
  <si>
    <t xml:space="preserve">1.  COMPANY IDENTIFICATION</t>
  </si>
  <si>
    <t xml:space="preserve">Company name</t>
  </si>
  <si>
    <t xml:space="preserve">FICTIONAL DEMO SA</t>
  </si>
  <si>
    <t xml:space="preserve">Ticker</t>
  </si>
  <si>
    <t xml:space="preserve">DEMO.MI</t>
  </si>
  <si>
    <t xml:space="preserve">Reporting currency</t>
  </si>
  <si>
    <t xml:space="preserve">EUR</t>
  </si>
  <si>
    <t xml:space="preserve">Financial units</t>
  </si>
  <si>
    <t xml:space="preserve">Millions</t>
  </si>
  <si>
    <t xml:space="preserve">Latest fiscal year (FY0)</t>
  </si>
  <si>
    <t xml:space="preserve">2025</t>
  </si>
  <si>
    <t xml:space="preserve">Valuation date</t>
  </si>
  <si>
    <t xml:space="preserve">2026-08-19</t>
  </si>
  <si>
    <t xml:space="preserve">2.  MARKET DATA  (as of the valuation date)</t>
  </si>
  <si>
    <t xml:space="preserve">Current share price</t>
  </si>
  <si>
    <t xml:space="preserve">Primary listing, same currency as the statements.</t>
  </si>
  <si>
    <t xml:space="preserve">Diluted shares outstanding (millions)</t>
  </si>
  <si>
    <t xml:space="preserve">Point-in-time from the latest balance sheet, not weighted average.</t>
  </si>
  <si>
    <t xml:space="preserve">Market capitalisation (millions)</t>
  </si>
  <si>
    <t xml:space="preserve">Calculated.</t>
  </si>
  <si>
    <t xml:space="preserve">3.  INCOME STATEMENT  —  five fiscal years (millions)</t>
  </si>
  <si>
    <t xml:space="preserve">FY-4</t>
  </si>
  <si>
    <t xml:space="preserve">FY-3</t>
  </si>
  <si>
    <t xml:space="preserve">FY-2</t>
  </si>
  <si>
    <t xml:space="preserve">FY-1</t>
  </si>
  <si>
    <t xml:space="preserve">FY0</t>
  </si>
  <si>
    <t xml:space="preserve">Revenue</t>
  </si>
  <si>
    <t xml:space="preserve">EBIT</t>
  </si>
  <si>
    <t xml:space="preserve">Depreciation &amp; amortisation</t>
  </si>
  <si>
    <t xml:space="preserve">Interest expense (gross)</t>
  </si>
  <si>
    <t xml:space="preserve">Pre-tax income</t>
  </si>
  <si>
    <t xml:space="preserve">Income tax expense</t>
  </si>
  <si>
    <t xml:space="preserve">Net income attributable to common shareholders</t>
  </si>
  <si>
    <t xml:space="preserve">4.  BALANCE SHEET  (millions)</t>
  </si>
  <si>
    <t xml:space="preserve">Cash &amp; cash equivalents</t>
  </si>
  <si>
    <t xml:space="preserve">Short-term investments / marketable securities</t>
  </si>
  <si>
    <t xml:space="preserve">Total current assets</t>
  </si>
  <si>
    <t xml:space="preserve">Total current liabilities</t>
  </si>
  <si>
    <t xml:space="preserve">Short-term debt + current portion of LTD (incl. current leases)</t>
  </si>
  <si>
    <t xml:space="preserve">Long-term debt incl. capitalised lease liabilities</t>
  </si>
  <si>
    <t xml:space="preserve">Preferred stock</t>
  </si>
  <si>
    <t xml:space="preserve">Minority / non-controlling interest</t>
  </si>
  <si>
    <t xml:space="preserve">Total equity (incl. minority interest and preferred)</t>
  </si>
  <si>
    <t xml:space="preserve">Equity-method investments / investments in associates</t>
  </si>
  <si>
    <t xml:space="preserve">Total assets</t>
  </si>
  <si>
    <t xml:space="preserve">Used by the holding-company diagnostic only; not part of the valuation chain.</t>
  </si>
  <si>
    <t xml:space="preserve">5.  CASH-FLOW STATEMENT  (millions)</t>
  </si>
  <si>
    <t xml:space="preserve">Capital expenditure (positive)</t>
  </si>
  <si>
    <t xml:space="preserve">Acquisitions, net of divestitures</t>
  </si>
  <si>
    <t xml:space="preserve">6.  MARKET-WIDE PARAMETERS  —  update quarterly, identical for every company</t>
  </si>
  <si>
    <t xml:space="preserve">Risk-free rate — 10y EUR AAA sovereign</t>
  </si>
  <si>
    <t xml:space="preserve">ECB Data Portal, euro-area AAA curve. One rate for the whole EUR universe.</t>
  </si>
  <si>
    <t xml:space="preserve">Mature-market equity risk premium</t>
  </si>
  <si>
    <t xml:space="preserve">Long-run nominal growth — euro area (terminal ceiling)</t>
  </si>
  <si>
    <t xml:space="preserve">7.  COUNTRY PARAMETERS  —  by country of domicile</t>
  </si>
  <si>
    <t xml:space="preserve">Country risk premium</t>
  </si>
  <si>
    <t xml:space="preserve">Damodaran country risk premiums. Zero for core, non-zero for periphery.</t>
  </si>
  <si>
    <t xml:space="preserve">Statutory / marginal corporate tax rate</t>
  </si>
  <si>
    <t xml:space="preserve">8.  INDUSTRY PARAMETERS  —  by industry, identical for every company in that industry</t>
  </si>
  <si>
    <t xml:space="preserve">Unlevered (asset) beta</t>
  </si>
  <si>
    <t xml:space="preserve">Damodaran European industry data, refreshed annually. Use the PLAIN unlevered beta, not the cash-corrected column: Valuation!D35 relevers at gross debt, so the cash-corrected figure would understate the cost of equity for every company.</t>
  </si>
  <si>
    <t xml:space="preserve">Sales-to-capital ratio</t>
  </si>
  <si>
    <t xml:space="preserve">Median EBIT margin</t>
  </si>
  <si>
    <t xml:space="preserve">Medians computed from your own universe snapshot. Diagnostics only — they do not enter the valuation.</t>
  </si>
  <si>
    <t xml:space="preserve">Median ROIC</t>
  </si>
  <si>
    <t xml:space="preserve">9.  MODEL CONVENTIONS  —  do not change between companies</t>
  </si>
  <si>
    <t xml:space="preserve">Stage 1 length (years)</t>
  </si>
  <si>
    <t xml:space="preserve">Stage 2 fade length (years)</t>
  </si>
  <si>
    <t xml:space="preserve">Maximum fundamental growth rate</t>
  </si>
  <si>
    <t xml:space="preserve">Maximum normalised ROIC</t>
  </si>
  <si>
    <t xml:space="preserve">Minimum normalised ROIC</t>
  </si>
  <si>
    <t xml:space="preserve">Maximum reinvestment rate</t>
  </si>
  <si>
    <t xml:space="preserve">Mid-year discounting (1 = on)</t>
  </si>
  <si>
    <t xml:space="preserve">Minimum WACC minus terminal growth spread</t>
  </si>
  <si>
    <t xml:space="preserve">SYNTHETIC CREDIT RATING — INTEREST COVERAGE TO DEFAULT SPREAD</t>
  </si>
  <si>
    <t xml:space="preserve">Interest coverage = normalised EBIT / median gross interest expense. The model looks up the highest threshold the company clears and adds that spread to the risk-free rate.</t>
  </si>
  <si>
    <t xml:space="preserve">Coverage ratio &gt;=</t>
  </si>
  <si>
    <t xml:space="preserve">Implied rating</t>
  </si>
  <si>
    <t xml:space="preserve">Default spread</t>
  </si>
  <si>
    <t xml:space="preserve">D</t>
  </si>
  <si>
    <t xml:space="preserve">Source: Damodaran, 'Ratings, Interest Coverage Ratios and Default Spreads' (large non-financial firms). Refresh annually. These are the only hardcoded market data in the workbook.</t>
  </si>
  <si>
    <t xml:space="preserve">C</t>
  </si>
  <si>
    <t xml:space="preserve">CC</t>
  </si>
  <si>
    <t xml:space="preserve">CCC</t>
  </si>
  <si>
    <t xml:space="preserve">B-</t>
  </si>
  <si>
    <t xml:space="preserve">B</t>
  </si>
  <si>
    <t xml:space="preserve">B+</t>
  </si>
  <si>
    <t xml:space="preserve">BB</t>
  </si>
  <si>
    <t xml:space="preserve">BB+</t>
  </si>
  <si>
    <t xml:space="preserve">BBB</t>
  </si>
  <si>
    <t xml:space="preserve">A-</t>
  </si>
  <si>
    <t xml:space="preserve">A</t>
  </si>
  <si>
    <t xml:space="preserve">A+</t>
  </si>
  <si>
    <t xml:space="preserve">AA</t>
  </si>
  <si>
    <t xml:space="preserve">AAA</t>
  </si>
  <si>
    <t xml:space="preserve">Thresholds must remain sorted ascending — MATCH(...,1) depends on it.</t>
  </si>
  <si>
    <t xml:space="preserve">Active table (LARGE or SMALL)</t>
  </si>
  <si>
    <t xml:space="preserve">LARGE</t>
  </si>
  <si>
    <t xml:space="preserve">Table vintage (YYYY-MM of publication)</t>
  </si>
  <si>
    <t xml:space="preserve">2026-01</t>
  </si>
  <si>
    <t xml:space="preserve">Size cut-off — market cap, EUR millions</t>
  </si>
  <si>
    <t xml:space="preserve">A4:C18 holds whichever table applies to this company. The pipeline writes all 45 cells from refdata_tables.json before recalculating, then D120 verifies the choice against market capitalisation. Cut-off is Damodaran's USD 5bn converted at 1.16 and FIXED in EUR: review it each February with the tables, never float it with the exchange rate.</t>
  </si>
  <si>
    <t xml:space="preserve">VALUATION ENGINE v2.2</t>
  </si>
  <si>
    <t xml:space="preserve">A.  NORMALISED OPERATING PERFORMANCE  (five-year median)</t>
  </si>
  <si>
    <t xml:space="preserve">Revenue, FY0</t>
  </si>
  <si>
    <t xml:space="preserve">EBIT margin by year</t>
  </si>
  <si>
    <t xml:space="preserve">Normalised EBIT margin (median of 5)</t>
  </si>
  <si>
    <t xml:space="preserve">Median, not mean: one distorted year cannot move it.</t>
  </si>
  <si>
    <t xml:space="preserve">Normalised EBIT</t>
  </si>
  <si>
    <t xml:space="preserve">Effective tax rate by year</t>
  </si>
  <si>
    <t xml:space="preserve">Median effective tax rate</t>
  </si>
  <si>
    <t xml:space="preserve">Normalised tax rate (stage-1 starting point)</t>
  </si>
  <si>
    <t xml:space="preserve">Falls back to the statutory rate only when the median is implausible.</t>
  </si>
  <si>
    <t xml:space="preserve">Normalised NOPAT</t>
  </si>
  <si>
    <t xml:space="preserve">B.  INVESTED CAPITAL AND RETURNS</t>
  </si>
  <si>
    <t xml:space="preserve">Invested capital</t>
  </si>
  <si>
    <t xml:space="preserve">Working capital (ex cash, ex short-term debt)</t>
  </si>
  <si>
    <t xml:space="preserve">Average invested capital (FY-1, FY0)</t>
  </si>
  <si>
    <t xml:space="preserve">Raw normalised ROIC</t>
  </si>
  <si>
    <t xml:space="preserve">Bounded normalised ROIC</t>
  </si>
  <si>
    <t xml:space="preserve">C.  REINVESTMENT  (two independent estimates, conservative one selected)</t>
  </si>
  <si>
    <t xml:space="preserve">Cumulative net reinvestment, FY-3 to FY0</t>
  </si>
  <si>
    <t xml:space="preserve">Capex + acquisitions - D&amp;A + change in working capital, over four years.</t>
  </si>
  <si>
    <t xml:space="preserve">Cumulative NOPAT, FY-3 to FY0</t>
  </si>
  <si>
    <t xml:space="preserve">Reinvestment rate — cash-flow based</t>
  </si>
  <si>
    <t xml:space="preserve">Revenue CAGR, FY-4 to FY0</t>
  </si>
  <si>
    <t xml:space="preserve">Implied reinvestment — sales-to-capital based</t>
  </si>
  <si>
    <t xml:space="preserve">Revenue growth divided by the industry sales-to-capital ratio.</t>
  </si>
  <si>
    <t xml:space="preserve">Reinvestment rate — sales-to-capital based</t>
  </si>
  <si>
    <t xml:space="preserve">Selected reinvestment rate (lower of the two)</t>
  </si>
  <si>
    <t xml:space="preserve">The lower estimate produces the lower growth rate. Conservative by rule, not by judgement.</t>
  </si>
  <si>
    <t xml:space="preserve">Divergence between the two estimates</t>
  </si>
  <si>
    <t xml:space="preserve">D.  COST OF CAPITAL</t>
  </si>
  <si>
    <t xml:space="preserve">Total debt, FY0</t>
  </si>
  <si>
    <t xml:space="preserve">Debt / equity (market)</t>
  </si>
  <si>
    <t xml:space="preserve">Relevered equity beta</t>
  </si>
  <si>
    <t xml:space="preserve">Bottom-up: industry asset beta relevered at this company's own capital structure. No regression.</t>
  </si>
  <si>
    <t xml:space="preserve">Cost of equity</t>
  </si>
  <si>
    <t xml:space="preserve">Median gross interest expense</t>
  </si>
  <si>
    <t xml:space="preserve">Interest coverage ratio</t>
  </si>
  <si>
    <t xml:space="preserve">Implied credit rating</t>
  </si>
  <si>
    <t xml:space="preserve">Synthetic default spread</t>
  </si>
  <si>
    <t xml:space="preserve">Synthetic pre-tax cost of debt</t>
  </si>
  <si>
    <t xml:space="preserve">Actual effective interest rate</t>
  </si>
  <si>
    <t xml:space="preserve">Gross interest expense over average gross debt. Straight from the statements.</t>
  </si>
  <si>
    <t xml:space="preserve">Pre-tax cost of debt (higher of the two, capped)</t>
  </si>
  <si>
    <t xml:space="preserve">Taking the higher is conservative and mechanical; the cap stops a data error from dominating.</t>
  </si>
  <si>
    <t xml:space="preserve">After-tax cost of debt</t>
  </si>
  <si>
    <t xml:space="preserve">Equity weight</t>
  </si>
  <si>
    <t xml:space="preserve">Debt weight</t>
  </si>
  <si>
    <t xml:space="preserve">WACC</t>
  </si>
  <si>
    <t xml:space="preserve">E.  GROWTH, FADE AND TERMINAL ASSUMPTIONS</t>
  </si>
  <si>
    <t xml:space="preserve">Fundamental growth rate (stage 1)</t>
  </si>
  <si>
    <t xml:space="preserve">Reinvestment rate x ROIC. Never an assumed number.</t>
  </si>
  <si>
    <t xml:space="preserve">Terminal growth rate</t>
  </si>
  <si>
    <t xml:space="preserve">Terminal ROIC</t>
  </si>
  <si>
    <t xml:space="preserve">Converges to WACC: no perpetual excess returns.</t>
  </si>
  <si>
    <t xml:space="preserve">Terminal tax rate</t>
  </si>
  <si>
    <t xml:space="preserve">Mid-year discounting offset</t>
  </si>
  <si>
    <t xml:space="preserve">Forecast horizon (years)</t>
  </si>
  <si>
    <t xml:space="preserve">F.  EXPLICIT FORECAST  (years 1 to 10)</t>
  </si>
  <si>
    <t xml:space="preserve">Year</t>
  </si>
  <si>
    <t xml:space="preserve">Growth rate</t>
  </si>
  <si>
    <t xml:space="preserve">ROIC (fading to terminal ROIC)</t>
  </si>
  <si>
    <t xml:space="preserve">Tax rate (fading to statutory)</t>
  </si>
  <si>
    <t xml:space="preserve">Effective rate today, statutory by year 10. Tax shields erode.</t>
  </si>
  <si>
    <t xml:space="preserve">NOPAT</t>
  </si>
  <si>
    <t xml:space="preserve">Reinvestment rate</t>
  </si>
  <si>
    <t xml:space="preserve">Free cash flow to the firm</t>
  </si>
  <si>
    <t xml:space="preserve">Discount factor</t>
  </si>
  <si>
    <t xml:space="preserve">Present value</t>
  </si>
  <si>
    <t xml:space="preserve">G.  VALUATION</t>
  </si>
  <si>
    <t xml:space="preserve">PV of explicit-period cash flows</t>
  </si>
  <si>
    <t xml:space="preserve">Terminal-year NOPAT (year 11)</t>
  </si>
  <si>
    <t xml:space="preserve">Terminal reinvestment rate</t>
  </si>
  <si>
    <t xml:space="preserve">Terminal free cash flow</t>
  </si>
  <si>
    <t xml:space="preserve">Terminal value at year 10</t>
  </si>
  <si>
    <t xml:space="preserve">PV of terminal value</t>
  </si>
  <si>
    <t xml:space="preserve">Mid-year offset applied here too — corrects the v1 inconsistency.</t>
  </si>
  <si>
    <t xml:space="preserve">Enterprise value</t>
  </si>
  <si>
    <t xml:space="preserve">less: total debt</t>
  </si>
  <si>
    <t xml:space="preserve">less: preferred stock</t>
  </si>
  <si>
    <t xml:space="preserve">less: minority interest</t>
  </si>
  <si>
    <t xml:space="preserve">plus: cash &amp; short-term investments</t>
  </si>
  <si>
    <t xml:space="preserve">plus: equity-method investments (book)</t>
  </si>
  <si>
    <t xml:space="preserve">Equity value</t>
  </si>
  <si>
    <t xml:space="preserve">Value per share</t>
  </si>
  <si>
    <t xml:space="preserve">Upside / (downside)</t>
  </si>
  <si>
    <t xml:space="preserve">VERDICT</t>
  </si>
  <si>
    <t xml:space="preserve">H.  DIAGNOSTICS</t>
  </si>
  <si>
    <t xml:space="preserve">Terminal value as share of enterprise value</t>
  </si>
  <si>
    <t xml:space="preserve">Normalised margin vs industry median (x)</t>
  </si>
  <si>
    <t xml:space="preserve">Normalised ROIC vs industry median (x)</t>
  </si>
  <si>
    <t xml:space="preserve">Equity-method investments as share of total assets</t>
  </si>
  <si>
    <t xml:space="preserve">Implied enterprise value / EBIT</t>
  </si>
  <si>
    <t xml:space="preserve">I.  VALIDATION CHECKS   (severity is the first word of the result: FAIL voids the valuation; WARNING and NOTE do not)</t>
  </si>
  <si>
    <t xml:space="preserve">Normalised NOPAT is positive</t>
  </si>
  <si>
    <t xml:space="preserve">Invested capital is positive</t>
  </si>
  <si>
    <t xml:space="preserve">WACC exceeds terminal growth</t>
  </si>
  <si>
    <t xml:space="preserve">Stage lengths sum to the forecast horizon</t>
  </si>
  <si>
    <t xml:space="preserve">Value per share is positive</t>
  </si>
  <si>
    <t xml:space="preserve">Terminal value is not dominant</t>
  </si>
  <si>
    <t xml:space="preserve">Interest coverage is adequate</t>
  </si>
  <si>
    <t xml:space="preserve">Cost of debt source</t>
  </si>
  <si>
    <t xml:space="preserve">Reinvestment estimates agree</t>
  </si>
  <si>
    <t xml:space="preserve">Margin is plausible against the industry</t>
  </si>
  <si>
    <t xml:space="preserve">ROIC is plausible against the industry</t>
  </si>
  <si>
    <t xml:space="preserve">ROIC bound not binding</t>
  </si>
  <si>
    <t xml:space="preserve">Growth bound not binding</t>
  </si>
  <si>
    <t xml:space="preserve">Effective tax rate used as reported</t>
  </si>
  <si>
    <t xml:space="preserve">Not a holding company</t>
  </si>
  <si>
    <t xml:space="preserve">All statement inputs are present</t>
  </si>
  <si>
    <t xml:space="preserve">Checks 111-115 are completeness and scale gates. They exist because every formula above is wrapped in IFERROR, so absent or mis-scaled data otherwise produces a clean, plausible and wrong answer.</t>
  </si>
  <si>
    <t xml:space="preserve">Market data is present</t>
  </si>
  <si>
    <t xml:space="preserve">All parameters are present</t>
  </si>
  <si>
    <t xml:space="preserve">Market capitalisation is consistent with revenue</t>
  </si>
  <si>
    <t xml:space="preserve">RefData thresholds are sorted ascending</t>
  </si>
  <si>
    <t xml:space="preserve">FY0 revenue is not a visible peak</t>
  </si>
  <si>
    <t xml:space="preserve">Interest expense has not stepped up</t>
  </si>
  <si>
    <t xml:space="preserve">Sensitivity grid reproduces the base case</t>
  </si>
  <si>
    <t xml:space="preserve">Conservatism rules point the intended way</t>
  </si>
  <si>
    <t xml:space="preserve">Loaded credit table matches the company's size band</t>
  </si>
  <si>
    <t xml:space="preserve">Checks 120-122 police table selection. The two Damodaran tables cross over around 1.2x coverage: below it the small-firm table gives the LOWER spread, above it the higher one. Selecting the wrong table is therefore not conservative in a predictable direction.</t>
  </si>
  <si>
    <t xml:space="preserve">Market capitalisation is clear of the size cut-off</t>
  </si>
  <si>
    <t xml:space="preserve">Credit table is current</t>
  </si>
  <si>
    <t xml:space="preserve">SENSITIVITY — VALUE PER SHARE</t>
  </si>
  <si>
    <t xml:space="preserve">The operating forecast is held fixed; only the discount rate and the terminal growth rate move. This isolates the effect of the cost of capital, which is the least observable input in the model.</t>
  </si>
  <si>
    <t xml:space="preserve">Terminal growth  -&gt;</t>
  </si>
  <si>
    <t xml:space="preserve">Base-case value per share</t>
  </si>
  <si>
    <t xml:space="preserve">READ ME — MODEL v2.2</t>
  </si>
  <si>
    <t xml:space="preserve">WHAT CHANGED FROM v1</t>
  </si>
  <si>
    <t xml:space="preserve">1. Beta is now bottom-up. An industry unlevered beta is relevered at the company's own debt-to-equity ratio and country tax rate. The five-year regression against a market index is gone, along with its standard error, the Blume adjustment, the index price series, and the 36-month minimum history requirement.</t>
  </si>
  <si>
    <t xml:space="preserve">2. Normalisation uses the five-year MEDIAN, not the three-year mean. A single distorted year no longer moves the result, and no one has to decide which year was distorted.</t>
  </si>
  <si>
    <t xml:space="preserve">3. The tax rate fades. Stage 1 starts at the company's own median effective rate and converges linearly to the country statutory rate by year 10, because tax shields erode. v1 switched between the two discontinuously.</t>
  </si>
  <si>
    <t xml:space="preserve">4. Mid-year discounting is now applied to the terminal value as well as the explicit years. In v1 it was applied only to the explicit period, which understated value by roughly 3%.</t>
  </si>
  <si>
    <t xml:space="preserve">5. Reinvestment is estimated twice — from cash flows and from the industry sales-to-capital ratio — and the LOWER estimate is used. Conservative by rule.</t>
  </si>
  <si>
    <t xml:space="preserve">6. The cost of debt is the HIGHER of the synthetic spread and the company's actual effective interest rate, capped at 25%.</t>
  </si>
  <si>
    <t xml:space="preserve">7. Five new validation checks: reinvestment divergence, cost-of-debt source, margin and ROIC against industry medians, and a holding-company test on equity-method investments.</t>
  </si>
  <si>
    <t xml:space="preserve">THE INPUT RULE</t>
  </si>
  <si>
    <t xml:space="preserve">Every input is either (a) read directly from the financial statements, (b) a market-wide parameter, (c) a country parameter set by domicile, or (d) an industry parameter. There are no company-specific judgement values anywhere. If a future change would require one, it does not belong in this model.</t>
  </si>
  <si>
    <t xml:space="preserve">WHAT THIS MODEL IS FOR</t>
  </si>
  <si>
    <t xml:space="preserve">Screening. The output means "this name deserves an afternoon of reading", never "this is worth EUR X". Its value comes from applying one consistent conservative standard across hundreds of companies, not from precision on any single one.</t>
  </si>
  <si>
    <t xml:space="preserve">KNOWN LIMITATIONS</t>
  </si>
  <si>
    <t xml:space="preserve">Terminal ROIC converges to WACC, so the model structurally cannot recognise a durable competitive advantage. It will mark quality compounders as overvalued. This is deliberate.</t>
  </si>
  <si>
    <t xml:space="preserve">ROIC is book-based. Goodwill depresses it for serial acquirers; expensed R&amp;D inflates it for intangible-heavy businesses. No capitalisation adjustments are made.</t>
  </si>
  <si>
    <t xml:space="preserve">Not valid for banks, insurers, specialty lenders, fair-value real estate, holding companies, concession-limited businesses, or extractive industries. See the universe exclusion policy.</t>
  </si>
  <si>
    <t xml:space="preserve">The sensitivity grid holds the operating forecast fixed and varies only the discount rate and terminal growth. Terminal ROIC is held at the base case within each scenario.</t>
  </si>
  <si>
    <t xml:space="preserve">MAINTENANCE</t>
  </si>
  <si>
    <t xml:space="preserve">Market parameters (B48:B50): quarterly. Country parameters (B53:B54): quarterly, per domicile. Industry parameters (B57:B60): annually. RefData spread table: annually, every February. Model conventions (B63:B70): never, between companies.</t>
  </si>
  <si>
    <t xml:space="preserve">WHAT CHANGED IN v2.1</t>
  </si>
  <si>
    <t xml:space="preserve">No valuation formula was altered. Every company valued under v2.0 returns an identical value per share. The changes are all in the validation layer.</t>
  </si>
  <si>
    <t xml:space="preserve">1. Four completeness and scale gates (D111:D114). The workbook is wrapped in IFERROR throughout, which suits a human filling it in by hand and is dangerous under automation: a missing price, an absent statement line or data reported in thousands rather than millions all produced a clean answer and fifteen OKs. The market-cap-against-revenue gate is the one that catches a units or share-count error, which was the only failure mode capable of producing a false BUY.</t>
  </si>
  <si>
    <t xml:space="preserve">2. A RefData integrity gate (D115). The rating lookup uses MATCH(...,1), which returns a silently wrong spread on unsorted thresholds rather than an error.</t>
  </si>
  <si>
    <t xml:space="preserve">3. Three warnings (D116:D118) for conditions the model cannot see: FY0 revenue sitting well above its five-year median, which matters because the margin is normalised but the revenue base is not; a step-up in interest expense, which flatters coverage against the five-year median used at D37; and a tie-out between the sensitivity grid and the base case, since the grid duplicates the valuation bridge inline and can drift if either is edited.</t>
  </si>
  <si>
    <t xml:space="preserve">4. One note (D119). The model takes the lower reinvestment estimate and calls it conservative. That holds only while ROIC exceeds WACC. Below it, growth destroys value and the same rule raises the valuation.</t>
  </si>
  <si>
    <t xml:space="preserve">5. The verdict at D86 now spans D96:D119 and tests the first four characters of each result rather than using a COUNTIF wildcard, whose behaviour depends on a workbook setting that differs between Excel and LibreOffice.</t>
  </si>
  <si>
    <t xml:space="preserve">KNOWN LIMITATIONS ADDED IN v2.1</t>
  </si>
  <si>
    <t xml:space="preserve">Fair value is not independent of the market price it is being compared to. D34 measures leverage against market capitalisation, so the price feeds the beta, the WACC and therefore the answer. As the price falls, weight shifts toward cheap after-tax debt and the fair value rises: on the demo company it moves about 13% across a thirteen-fold price range. Market-value weighting is standard practice and has been left alone, but the effect scales with leverage and pushes toward flagging already-distressed names.</t>
  </si>
  <si>
    <t xml:space="preserve">The margin is normalised over five years; the revenue base it is applied to is not. For a cyclical at peak revenue the model is optimistic. D116 flags the condition rather than changing the base, because normalising revenue as well would change every valuation the model has ever produced.</t>
  </si>
  <si>
    <t xml:space="preserve">WHAT CHANGED IN v2.2</t>
  </si>
  <si>
    <t xml:space="preserve">No valuation formula was altered. Damodaran publishes two non-financial credit tables, split at USD 5bn market cap, and the workbook previously used the large-firm one for every company regardless of size.</t>
  </si>
  <si>
    <t xml:space="preserve">The table is now selected per company and written in by the pipeline, exactly as the country and industry parameters already are, rather than the model being forked into two files. RefData B22:B24 record which table is loaded, its vintage, and the cut-off. D120 fails if the loaded table contradicts market capitalisation, so a selection error cannot pass silently.</t>
  </si>
  <si>
    <t xml:space="preserve">The two ladders cross over near 1.2x interest coverage. Above it the small-firm table charges more (AAA 0.60% against 0.40%, BBB 1.60% against 1.11%); below it it charges less (D 14.00% against 19.00%). Using the large table for a small company therefore understates the spread for the healthy majority and overstates it for the distressed tail.</t>
  </si>
  <si>
    <t xml:space="preserve">The cut-off is fixed in EUR and reviewed annually. A cut-off that floated with EURUSD would reclassify companies, and change their valuations, for no economic reason. D121 warns when a company sits within 20% of it.</t>
  </si>
</sst>
</file>

<file path=xl/styles.xml><?xml version="1.0" encoding="utf-8"?>
<styleSheet xmlns="http://schemas.openxmlformats.org/spreadsheetml/2006/main">
  <numFmts count="8">
    <numFmt numFmtId="164" formatCode="General"/>
    <numFmt numFmtId="165" formatCode="#,##0.00;\(#,##0.00\);\-"/>
    <numFmt numFmtId="166" formatCode="#,##0.0;\(#,##0.0\);\-"/>
    <numFmt numFmtId="167" formatCode="0.00%;\(0.00%\);\-"/>
    <numFmt numFmtId="168" formatCode="0.00"/>
    <numFmt numFmtId="169" formatCode="0"/>
    <numFmt numFmtId="170" formatCode="#,##0;\(#,##0\);\-"/>
    <numFmt numFmtId="171" formatCode="0.0000"/>
  </numFmts>
  <fonts count="8">
    <font>
      <sz val="11"/>
      <color theme="1"/>
      <name val="Calibri"/>
      <family val="2"/>
      <charset val="1"/>
    </font>
    <font>
      <sz val="10"/>
      <name val="Arial"/>
      <family val="0"/>
    </font>
    <font>
      <sz val="10"/>
      <name val="Arial"/>
      <family val="0"/>
    </font>
    <font>
      <sz val="10"/>
      <name val="Arial"/>
      <family val="0"/>
    </font>
    <font>
      <b val="true"/>
      <sz val="13"/>
      <color rgb="FFFFFFFF"/>
      <name val="Cambria"/>
      <family val="0"/>
      <charset val="1"/>
    </font>
    <font>
      <i val="true"/>
      <sz val="9"/>
      <color rgb="FF666666"/>
      <name val="Cambria"/>
      <family val="0"/>
      <charset val="1"/>
    </font>
    <font>
      <b val="true"/>
      <sz val="10"/>
      <color rgb="FFFFFFFF"/>
      <name val="Cambria"/>
      <family val="0"/>
      <charset val="1"/>
    </font>
    <font>
      <b val="true"/>
      <sz val="11"/>
      <name val="Cambria"/>
      <family val="0"/>
      <charset val="1"/>
    </font>
  </fonts>
  <fills count="6">
    <fill>
      <patternFill patternType="none"/>
    </fill>
    <fill>
      <patternFill patternType="gray125"/>
    </fill>
    <fill>
      <patternFill patternType="solid">
        <fgColor rgb="FF1F3864"/>
        <bgColor rgb="FF333333"/>
      </patternFill>
    </fill>
    <fill>
      <patternFill patternType="solid">
        <fgColor rgb="FF2E5C8A"/>
        <bgColor rgb="FF1F3864"/>
      </patternFill>
    </fill>
    <fill>
      <patternFill patternType="solid">
        <fgColor rgb="FFFFF2CC"/>
        <bgColor rgb="FFE2EFDA"/>
      </patternFill>
    </fill>
    <fill>
      <patternFill patternType="solid">
        <fgColor rgb="FFE2EFDA"/>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general" vertical="center"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6" fillId="3" borderId="0" xfId="0" applyFont="true" applyBorder="true" applyAlignment="true" applyProtection="true">
      <alignment horizontal="general" vertical="bottom" textRotation="0" wrapText="false" indent="0" shrinkToFit="false"/>
      <protection locked="true" hidden="false"/>
    </xf>
    <xf numFmtId="164" fontId="0" fillId="4" borderId="1" xfId="0" applyFont="true" applyBorder="true" applyAlignment="true" applyProtection="true">
      <alignment horizontal="general" vertical="bottom" textRotation="0" wrapText="false" indent="0" shrinkToFit="false"/>
      <protection locked="true" hidden="false"/>
    </xf>
    <xf numFmtId="165" fontId="0" fillId="4" borderId="1" xfId="0" applyFont="fals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6" fontId="0" fillId="4" borderId="1" xfId="0" applyFont="false" applyBorder="true" applyAlignment="true" applyProtection="true">
      <alignment horizontal="general" vertical="bottom" textRotation="0" wrapText="false" indent="0" shrinkToFit="false"/>
      <protection locked="true" hidden="false"/>
    </xf>
    <xf numFmtId="166" fontId="0" fillId="5" borderId="1" xfId="0" applyFont="fals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7" fontId="0" fillId="4" borderId="1" xfId="0" applyFont="false" applyBorder="true" applyAlignment="true" applyProtection="true">
      <alignment horizontal="general" vertical="bottom" textRotation="0" wrapText="false" indent="0" shrinkToFit="false"/>
      <protection locked="true" hidden="false"/>
    </xf>
    <xf numFmtId="168" fontId="0" fillId="4" borderId="1" xfId="0" applyFont="false" applyBorder="true" applyAlignment="true" applyProtection="true">
      <alignment horizontal="general" vertical="bottom" textRotation="0" wrapText="false" indent="0" shrinkToFit="false"/>
      <protection locked="true" hidden="false"/>
    </xf>
    <xf numFmtId="169" fontId="0" fillId="4" borderId="1" xfId="0" applyFont="fals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70" fontId="0" fillId="0" borderId="0" xfId="0" applyFont="fals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7" fontId="7" fillId="5" borderId="0" xfId="0" applyFont="true" applyBorder="false" applyAlignment="true" applyProtection="true">
      <alignment horizontal="general" vertical="bottom" textRotation="0" wrapText="false" indent="0" shrinkToFit="false"/>
      <protection locked="true" hidden="false"/>
    </xf>
    <xf numFmtId="169" fontId="0" fillId="0" borderId="0" xfId="0" applyFont="false" applyBorder="false" applyAlignment="true" applyProtection="true">
      <alignment horizontal="general" vertical="bottom" textRotation="0" wrapText="false" indent="0" shrinkToFit="false"/>
      <protection locked="true" hidden="false"/>
    </xf>
    <xf numFmtId="171" fontId="0" fillId="0" borderId="0" xfId="0" applyFont="false" applyBorder="false" applyAlignment="true" applyProtection="true">
      <alignment horizontal="general" vertical="bottom" textRotation="0" wrapText="false" indent="0" shrinkToFit="false"/>
      <protection locked="true" hidden="false"/>
    </xf>
    <xf numFmtId="166" fontId="7" fillId="5" borderId="0" xfId="0" applyFont="true" applyBorder="false" applyAlignment="true" applyProtection="true">
      <alignment horizontal="general" vertical="bottom" textRotation="0" wrapText="false" indent="0" shrinkToFit="false"/>
      <protection locked="true" hidden="false"/>
    </xf>
    <xf numFmtId="165" fontId="7" fillId="5"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7" fillId="5"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7" fontId="7" fillId="0"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6" min="2" style="1" width="15"/>
    <col collapsed="false" customWidth="true" hidden="false" outlineLevel="0" max="7" min="7" style="1" width="60"/>
  </cols>
  <sheetData>
    <row r="1" customFormat="false" ht="21.75" hidden="false" customHeight="true" outlineLevel="0" collapsed="false">
      <c r="A1" s="2" t="s">
        <v>0</v>
      </c>
      <c r="B1" s="2"/>
      <c r="C1" s="2"/>
      <c r="D1" s="2"/>
      <c r="E1" s="2"/>
      <c r="F1" s="2"/>
    </row>
    <row r="2" customFormat="false" ht="15" hidden="false" customHeight="true" outlineLevel="0" collapsed="false">
      <c r="A2" s="3" t="s">
        <v>1</v>
      </c>
      <c r="B2" s="3"/>
      <c r="C2" s="3"/>
      <c r="D2" s="3"/>
      <c r="E2" s="3"/>
      <c r="F2" s="3"/>
    </row>
    <row r="4" customFormat="false" ht="15" hidden="false" customHeight="true" outlineLevel="0" collapsed="false">
      <c r="A4" s="4" t="s">
        <v>2</v>
      </c>
      <c r="B4" s="4"/>
      <c r="C4" s="4"/>
      <c r="D4" s="4"/>
      <c r="E4" s="4"/>
      <c r="F4" s="4"/>
    </row>
    <row r="6" customFormat="false" ht="15" hidden="false" customHeight="true" outlineLevel="0" collapsed="false">
      <c r="A6" s="1" t="s">
        <v>3</v>
      </c>
      <c r="B6" s="5" t="s">
        <v>4</v>
      </c>
    </row>
    <row r="7" customFormat="false" ht="15" hidden="false" customHeight="true" outlineLevel="0" collapsed="false">
      <c r="A7" s="1" t="s">
        <v>5</v>
      </c>
      <c r="B7" s="5" t="s">
        <v>6</v>
      </c>
    </row>
    <row r="8" customFormat="false" ht="15" hidden="false" customHeight="true" outlineLevel="0" collapsed="false">
      <c r="A8" s="1" t="s">
        <v>7</v>
      </c>
      <c r="B8" s="5" t="s">
        <v>8</v>
      </c>
    </row>
    <row r="9" customFormat="false" ht="15" hidden="false" customHeight="true" outlineLevel="0" collapsed="false">
      <c r="A9" s="1" t="s">
        <v>9</v>
      </c>
      <c r="B9" s="5" t="s">
        <v>10</v>
      </c>
    </row>
    <row r="10" customFormat="false" ht="15" hidden="false" customHeight="true" outlineLevel="0" collapsed="false">
      <c r="A10" s="1" t="s">
        <v>11</v>
      </c>
      <c r="B10" s="5" t="s">
        <v>12</v>
      </c>
    </row>
    <row r="11" customFormat="false" ht="15" hidden="false" customHeight="true" outlineLevel="0" collapsed="false">
      <c r="A11" s="1" t="s">
        <v>13</v>
      </c>
      <c r="B11" s="5" t="s">
        <v>14</v>
      </c>
    </row>
    <row r="13" customFormat="false" ht="15" hidden="false" customHeight="true" outlineLevel="0" collapsed="false">
      <c r="A13" s="4" t="s">
        <v>15</v>
      </c>
      <c r="B13" s="4"/>
      <c r="C13" s="4"/>
      <c r="D13" s="4"/>
      <c r="E13" s="4"/>
      <c r="F13" s="4"/>
    </row>
    <row r="14" customFormat="false" ht="15" hidden="false" customHeight="true" outlineLevel="0" collapsed="false">
      <c r="A14" s="1" t="s">
        <v>16</v>
      </c>
      <c r="B14" s="6" t="n">
        <v>24.5</v>
      </c>
      <c r="G14" s="7" t="s">
        <v>17</v>
      </c>
    </row>
    <row r="15" customFormat="false" ht="15" hidden="false" customHeight="true" outlineLevel="0" collapsed="false">
      <c r="A15" s="1" t="s">
        <v>18</v>
      </c>
      <c r="B15" s="8" t="n">
        <v>420</v>
      </c>
      <c r="G15" s="7" t="s">
        <v>19</v>
      </c>
    </row>
    <row r="16" customFormat="false" ht="15" hidden="false" customHeight="true" outlineLevel="0" collapsed="false">
      <c r="A16" s="1" t="s">
        <v>20</v>
      </c>
      <c r="B16" s="9" t="n">
        <f aca="false">B14*B15</f>
        <v>10290</v>
      </c>
      <c r="G16" s="7" t="s">
        <v>21</v>
      </c>
    </row>
    <row r="18" customFormat="false" ht="15" hidden="false" customHeight="true" outlineLevel="0" collapsed="false">
      <c r="A18" s="4" t="s">
        <v>22</v>
      </c>
      <c r="B18" s="4"/>
      <c r="C18" s="4"/>
      <c r="D18" s="4"/>
      <c r="E18" s="4"/>
      <c r="F18" s="4"/>
    </row>
    <row r="19" customFormat="false" ht="15" hidden="false" customHeight="true" outlineLevel="0" collapsed="false">
      <c r="B19" s="10" t="s">
        <v>23</v>
      </c>
      <c r="C19" s="10" t="s">
        <v>24</v>
      </c>
      <c r="D19" s="10" t="s">
        <v>25</v>
      </c>
      <c r="E19" s="10" t="s">
        <v>26</v>
      </c>
      <c r="F19" s="10" t="s">
        <v>27</v>
      </c>
    </row>
    <row r="20" customFormat="false" ht="15" hidden="false" customHeight="true" outlineLevel="0" collapsed="false">
      <c r="A20" s="1" t="s">
        <v>28</v>
      </c>
      <c r="B20" s="8" t="n">
        <v>3800</v>
      </c>
      <c r="C20" s="8" t="n">
        <v>3950</v>
      </c>
      <c r="D20" s="8" t="n">
        <v>4180</v>
      </c>
      <c r="E20" s="8" t="n">
        <v>4310</v>
      </c>
      <c r="F20" s="8" t="n">
        <v>4520</v>
      </c>
    </row>
    <row r="21" customFormat="false" ht="15" hidden="false" customHeight="true" outlineLevel="0" collapsed="false">
      <c r="A21" s="1" t="s">
        <v>29</v>
      </c>
      <c r="B21" s="8" t="n">
        <v>420</v>
      </c>
      <c r="C21" s="8" t="n">
        <v>455</v>
      </c>
      <c r="D21" s="8" t="n">
        <v>500</v>
      </c>
      <c r="E21" s="8" t="n">
        <v>505</v>
      </c>
      <c r="F21" s="8" t="n">
        <v>545</v>
      </c>
    </row>
    <row r="22" customFormat="false" ht="15" hidden="false" customHeight="true" outlineLevel="0" collapsed="false">
      <c r="A22" s="1" t="s">
        <v>30</v>
      </c>
      <c r="B22" s="8" t="n">
        <v>290</v>
      </c>
      <c r="C22" s="8" t="n">
        <v>300</v>
      </c>
      <c r="D22" s="8" t="n">
        <v>315</v>
      </c>
      <c r="E22" s="8" t="n">
        <v>322</v>
      </c>
      <c r="F22" s="8" t="n">
        <v>335</v>
      </c>
    </row>
    <row r="23" customFormat="false" ht="15" hidden="false" customHeight="true" outlineLevel="0" collapsed="false">
      <c r="A23" s="1" t="s">
        <v>31</v>
      </c>
      <c r="B23" s="8" t="n">
        <v>62</v>
      </c>
      <c r="C23" s="8" t="n">
        <v>60</v>
      </c>
      <c r="D23" s="8" t="n">
        <v>58</v>
      </c>
      <c r="E23" s="8" t="n">
        <v>61</v>
      </c>
      <c r="F23" s="8" t="n">
        <v>59</v>
      </c>
    </row>
    <row r="24" customFormat="false" ht="15" hidden="false" customHeight="true" outlineLevel="0" collapsed="false">
      <c r="A24" s="1" t="s">
        <v>32</v>
      </c>
      <c r="B24" s="8" t="n">
        <v>358</v>
      </c>
      <c r="C24" s="8" t="n">
        <v>398</v>
      </c>
      <c r="D24" s="8" t="n">
        <v>445</v>
      </c>
      <c r="E24" s="8" t="n">
        <v>447</v>
      </c>
      <c r="F24" s="8" t="n">
        <v>490</v>
      </c>
    </row>
    <row r="25" customFormat="false" ht="15" hidden="false" customHeight="true" outlineLevel="0" collapsed="false">
      <c r="A25" s="1" t="s">
        <v>33</v>
      </c>
      <c r="B25" s="8" t="n">
        <v>97</v>
      </c>
      <c r="C25" s="8" t="n">
        <v>107</v>
      </c>
      <c r="D25" s="8" t="n">
        <v>120</v>
      </c>
      <c r="E25" s="8" t="n">
        <v>121</v>
      </c>
      <c r="F25" s="8" t="n">
        <v>132</v>
      </c>
    </row>
    <row r="26" customFormat="false" ht="15" hidden="false" customHeight="true" outlineLevel="0" collapsed="false">
      <c r="A26" s="1" t="s">
        <v>34</v>
      </c>
      <c r="B26" s="8" t="n">
        <v>255</v>
      </c>
      <c r="C26" s="8" t="n">
        <v>285</v>
      </c>
      <c r="D26" s="8" t="n">
        <v>320</v>
      </c>
      <c r="E26" s="8" t="n">
        <v>320</v>
      </c>
      <c r="F26" s="8" t="n">
        <v>352</v>
      </c>
    </row>
    <row r="28" customFormat="false" ht="15" hidden="false" customHeight="true" outlineLevel="0" collapsed="false">
      <c r="A28" s="4" t="s">
        <v>35</v>
      </c>
      <c r="B28" s="4"/>
      <c r="C28" s="4"/>
      <c r="D28" s="4"/>
      <c r="E28" s="4"/>
      <c r="F28" s="4"/>
    </row>
    <row r="29" customFormat="false" ht="15" hidden="false" customHeight="true" outlineLevel="0" collapsed="false">
      <c r="B29" s="10" t="s">
        <v>23</v>
      </c>
      <c r="C29" s="10" t="s">
        <v>24</v>
      </c>
      <c r="D29" s="10" t="s">
        <v>25</v>
      </c>
      <c r="E29" s="10" t="s">
        <v>26</v>
      </c>
      <c r="F29" s="10" t="s">
        <v>27</v>
      </c>
    </row>
    <row r="30" customFormat="false" ht="15" hidden="false" customHeight="true" outlineLevel="0" collapsed="false">
      <c r="A30" s="1" t="s">
        <v>36</v>
      </c>
      <c r="B30" s="8" t="n">
        <v>210</v>
      </c>
      <c r="C30" s="8" t="n">
        <v>235</v>
      </c>
      <c r="D30" s="8" t="n">
        <v>260</v>
      </c>
      <c r="E30" s="8" t="n">
        <v>275</v>
      </c>
      <c r="F30" s="8" t="n">
        <v>300</v>
      </c>
    </row>
    <row r="31" customFormat="false" ht="15" hidden="false" customHeight="true" outlineLevel="0" collapsed="false">
      <c r="A31" s="1" t="s">
        <v>37</v>
      </c>
      <c r="B31" s="8" t="n">
        <v>40</v>
      </c>
      <c r="C31" s="8" t="n">
        <v>45</v>
      </c>
      <c r="D31" s="8" t="n">
        <v>50</v>
      </c>
      <c r="E31" s="8" t="n">
        <v>55</v>
      </c>
      <c r="F31" s="8" t="n">
        <v>60</v>
      </c>
    </row>
    <row r="32" customFormat="false" ht="15" hidden="false" customHeight="true" outlineLevel="0" collapsed="false">
      <c r="A32" s="1" t="s">
        <v>38</v>
      </c>
      <c r="B32" s="8" t="n">
        <v>1450</v>
      </c>
      <c r="C32" s="8" t="n">
        <v>1520</v>
      </c>
      <c r="D32" s="8" t="n">
        <v>1610</v>
      </c>
      <c r="E32" s="8" t="n">
        <v>1665</v>
      </c>
      <c r="F32" s="8" t="n">
        <v>1750</v>
      </c>
    </row>
    <row r="33" customFormat="false" ht="15" hidden="false" customHeight="true" outlineLevel="0" collapsed="false">
      <c r="A33" s="1" t="s">
        <v>39</v>
      </c>
      <c r="B33" s="8" t="n">
        <v>1180</v>
      </c>
      <c r="C33" s="8" t="n">
        <v>1225</v>
      </c>
      <c r="D33" s="8" t="n">
        <v>1290</v>
      </c>
      <c r="E33" s="8" t="n">
        <v>1330</v>
      </c>
      <c r="F33" s="8" t="n">
        <v>1390</v>
      </c>
    </row>
    <row r="34" customFormat="false" ht="15" hidden="false" customHeight="true" outlineLevel="0" collapsed="false">
      <c r="A34" s="1" t="s">
        <v>40</v>
      </c>
      <c r="B34" s="8" t="n">
        <v>150</v>
      </c>
      <c r="C34" s="8" t="n">
        <v>145</v>
      </c>
      <c r="D34" s="8" t="n">
        <v>160</v>
      </c>
      <c r="E34" s="8" t="n">
        <v>155</v>
      </c>
      <c r="F34" s="8" t="n">
        <v>165</v>
      </c>
    </row>
    <row r="35" customFormat="false" ht="15" hidden="false" customHeight="true" outlineLevel="0" collapsed="false">
      <c r="A35" s="1" t="s">
        <v>41</v>
      </c>
      <c r="B35" s="8" t="n">
        <v>1250</v>
      </c>
      <c r="C35" s="8" t="n">
        <v>1220</v>
      </c>
      <c r="D35" s="8" t="n">
        <v>1240</v>
      </c>
      <c r="E35" s="8" t="n">
        <v>1210</v>
      </c>
      <c r="F35" s="8" t="n">
        <v>1180</v>
      </c>
    </row>
    <row r="36" customFormat="false" ht="15" hidden="false" customHeight="true" outlineLevel="0" collapsed="false">
      <c r="A36" s="1" t="s">
        <v>42</v>
      </c>
      <c r="B36" s="8" t="n">
        <v>0</v>
      </c>
      <c r="C36" s="8" t="n">
        <v>0</v>
      </c>
      <c r="D36" s="8" t="n">
        <v>0</v>
      </c>
      <c r="E36" s="8" t="n">
        <v>0</v>
      </c>
      <c r="F36" s="8" t="n">
        <v>0</v>
      </c>
    </row>
    <row r="37" customFormat="false" ht="15" hidden="false" customHeight="true" outlineLevel="0" collapsed="false">
      <c r="A37" s="1" t="s">
        <v>43</v>
      </c>
      <c r="B37" s="8" t="n">
        <v>45</v>
      </c>
      <c r="C37" s="8" t="n">
        <v>48</v>
      </c>
      <c r="D37" s="8" t="n">
        <v>52</v>
      </c>
      <c r="E37" s="8" t="n">
        <v>55</v>
      </c>
      <c r="F37" s="8" t="n">
        <v>58</v>
      </c>
    </row>
    <row r="38" customFormat="false" ht="15" hidden="false" customHeight="true" outlineLevel="0" collapsed="false">
      <c r="A38" s="1" t="s">
        <v>44</v>
      </c>
      <c r="B38" s="8" t="n">
        <v>1620</v>
      </c>
      <c r="C38" s="8" t="n">
        <v>1720</v>
      </c>
      <c r="D38" s="8" t="n">
        <v>1850</v>
      </c>
      <c r="E38" s="8" t="n">
        <v>1960</v>
      </c>
      <c r="F38" s="8" t="n">
        <v>2100</v>
      </c>
    </row>
    <row r="39" customFormat="false" ht="15" hidden="false" customHeight="true" outlineLevel="0" collapsed="false">
      <c r="A39" s="1" t="s">
        <v>45</v>
      </c>
      <c r="B39" s="8" t="n">
        <v>85</v>
      </c>
      <c r="C39" s="8" t="n">
        <v>88</v>
      </c>
      <c r="D39" s="8" t="n">
        <v>92</v>
      </c>
      <c r="E39" s="8" t="n">
        <v>95</v>
      </c>
      <c r="F39" s="8" t="n">
        <v>100</v>
      </c>
    </row>
    <row r="40" customFormat="false" ht="15" hidden="false" customHeight="true" outlineLevel="0" collapsed="false">
      <c r="A40" s="1" t="s">
        <v>46</v>
      </c>
      <c r="B40" s="8" t="n">
        <v>4400</v>
      </c>
      <c r="C40" s="8" t="n">
        <v>4560</v>
      </c>
      <c r="D40" s="8" t="n">
        <v>4790</v>
      </c>
      <c r="E40" s="8" t="n">
        <v>4930</v>
      </c>
      <c r="F40" s="8" t="n">
        <v>5150</v>
      </c>
      <c r="G40" s="7" t="s">
        <v>47</v>
      </c>
    </row>
    <row r="42" customFormat="false" ht="15" hidden="false" customHeight="true" outlineLevel="0" collapsed="false">
      <c r="A42" s="4" t="s">
        <v>48</v>
      </c>
      <c r="B42" s="4"/>
      <c r="C42" s="4"/>
      <c r="D42" s="4"/>
      <c r="E42" s="4"/>
      <c r="F42" s="4"/>
    </row>
    <row r="43" customFormat="false" ht="15" hidden="false" customHeight="true" outlineLevel="0" collapsed="false">
      <c r="B43" s="10" t="s">
        <v>23</v>
      </c>
      <c r="C43" s="10" t="s">
        <v>24</v>
      </c>
      <c r="D43" s="10" t="s">
        <v>25</v>
      </c>
      <c r="E43" s="10" t="s">
        <v>26</v>
      </c>
      <c r="F43" s="10" t="s">
        <v>27</v>
      </c>
    </row>
    <row r="44" customFormat="false" ht="15" hidden="false" customHeight="true" outlineLevel="0" collapsed="false">
      <c r="A44" s="1" t="s">
        <v>49</v>
      </c>
      <c r="B44" s="8" t="n">
        <v>355</v>
      </c>
      <c r="C44" s="8" t="n">
        <v>370</v>
      </c>
      <c r="D44" s="8" t="n">
        <v>395</v>
      </c>
      <c r="E44" s="8" t="n">
        <v>405</v>
      </c>
      <c r="F44" s="8" t="n">
        <v>420</v>
      </c>
    </row>
    <row r="45" customFormat="false" ht="15" hidden="false" customHeight="true" outlineLevel="0" collapsed="false">
      <c r="A45" s="1" t="s">
        <v>50</v>
      </c>
      <c r="B45" s="8" t="n">
        <v>0</v>
      </c>
      <c r="C45" s="8" t="n">
        <v>40</v>
      </c>
      <c r="D45" s="8" t="n">
        <v>0</v>
      </c>
      <c r="E45" s="8" t="n">
        <v>25</v>
      </c>
      <c r="F45" s="8" t="n">
        <v>0</v>
      </c>
    </row>
    <row r="47" customFormat="false" ht="15" hidden="false" customHeight="true" outlineLevel="0" collapsed="false">
      <c r="A47" s="4" t="s">
        <v>51</v>
      </c>
      <c r="B47" s="4"/>
      <c r="C47" s="4"/>
      <c r="D47" s="4"/>
      <c r="E47" s="4"/>
      <c r="F47" s="4"/>
    </row>
    <row r="48" customFormat="false" ht="15" hidden="false" customHeight="true" outlineLevel="0" collapsed="false">
      <c r="A48" s="1" t="s">
        <v>52</v>
      </c>
      <c r="B48" s="11" t="n">
        <v>0.026</v>
      </c>
      <c r="G48" s="7" t="s">
        <v>53</v>
      </c>
    </row>
    <row r="49" customFormat="false" ht="15" hidden="false" customHeight="true" outlineLevel="0" collapsed="false">
      <c r="A49" s="1" t="s">
        <v>54</v>
      </c>
      <c r="B49" s="11" t="n">
        <v>0.048</v>
      </c>
    </row>
    <row r="50" customFormat="false" ht="15" hidden="false" customHeight="true" outlineLevel="0" collapsed="false">
      <c r="A50" s="1" t="s">
        <v>55</v>
      </c>
      <c r="B50" s="11" t="n">
        <v>0.032</v>
      </c>
    </row>
    <row r="52" customFormat="false" ht="15" hidden="false" customHeight="true" outlineLevel="0" collapsed="false">
      <c r="A52" s="4" t="s">
        <v>56</v>
      </c>
      <c r="B52" s="4"/>
      <c r="C52" s="4"/>
      <c r="D52" s="4"/>
      <c r="E52" s="4"/>
      <c r="F52" s="4"/>
    </row>
    <row r="53" customFormat="false" ht="15" hidden="false" customHeight="true" outlineLevel="0" collapsed="false">
      <c r="A53" s="1" t="s">
        <v>57</v>
      </c>
      <c r="B53" s="11" t="n">
        <v>0.015</v>
      </c>
      <c r="G53" s="7" t="s">
        <v>58</v>
      </c>
    </row>
    <row r="54" customFormat="false" ht="15" hidden="false" customHeight="true" outlineLevel="0" collapsed="false">
      <c r="A54" s="1" t="s">
        <v>59</v>
      </c>
      <c r="B54" s="11" t="n">
        <v>0.24</v>
      </c>
    </row>
    <row r="56" customFormat="false" ht="15" hidden="false" customHeight="true" outlineLevel="0" collapsed="false">
      <c r="A56" s="4" t="s">
        <v>60</v>
      </c>
      <c r="B56" s="4"/>
      <c r="C56" s="4"/>
      <c r="D56" s="4"/>
      <c r="E56" s="4"/>
      <c r="F56" s="4"/>
    </row>
    <row r="57" customFormat="false" ht="15" hidden="false" customHeight="true" outlineLevel="0" collapsed="false">
      <c r="A57" s="1" t="s">
        <v>61</v>
      </c>
      <c r="B57" s="12" t="n">
        <v>0.85</v>
      </c>
      <c r="G57" s="7" t="s">
        <v>62</v>
      </c>
    </row>
    <row r="58" customFormat="false" ht="15" hidden="false" customHeight="true" outlineLevel="0" collapsed="false">
      <c r="A58" s="1" t="s">
        <v>63</v>
      </c>
      <c r="B58" s="12" t="n">
        <v>1.6</v>
      </c>
    </row>
    <row r="59" customFormat="false" ht="15" hidden="false" customHeight="true" outlineLevel="0" collapsed="false">
      <c r="A59" s="1" t="s">
        <v>64</v>
      </c>
      <c r="B59" s="11" t="n">
        <v>0.105</v>
      </c>
      <c r="G59" s="7" t="s">
        <v>65</v>
      </c>
    </row>
    <row r="60" customFormat="false" ht="15" hidden="false" customHeight="true" outlineLevel="0" collapsed="false">
      <c r="A60" s="1" t="s">
        <v>66</v>
      </c>
      <c r="B60" s="11" t="n">
        <v>0.095</v>
      </c>
    </row>
    <row r="62" customFormat="false" ht="15" hidden="false" customHeight="true" outlineLevel="0" collapsed="false">
      <c r="A62" s="4" t="s">
        <v>67</v>
      </c>
      <c r="B62" s="4"/>
      <c r="C62" s="4"/>
      <c r="D62" s="4"/>
      <c r="E62" s="4"/>
      <c r="F62" s="4"/>
    </row>
    <row r="63" customFormat="false" ht="15" hidden="false" customHeight="true" outlineLevel="0" collapsed="false">
      <c r="A63" s="1" t="s">
        <v>68</v>
      </c>
      <c r="B63" s="13" t="n">
        <v>5</v>
      </c>
    </row>
    <row r="64" customFormat="false" ht="15" hidden="false" customHeight="true" outlineLevel="0" collapsed="false">
      <c r="A64" s="1" t="s">
        <v>69</v>
      </c>
      <c r="B64" s="13" t="n">
        <v>5</v>
      </c>
    </row>
    <row r="65" customFormat="false" ht="15" hidden="false" customHeight="true" outlineLevel="0" collapsed="false">
      <c r="A65" s="1" t="s">
        <v>70</v>
      </c>
      <c r="B65" s="11" t="n">
        <v>0.12</v>
      </c>
    </row>
    <row r="66" customFormat="false" ht="15" hidden="false" customHeight="true" outlineLevel="0" collapsed="false">
      <c r="A66" s="1" t="s">
        <v>71</v>
      </c>
      <c r="B66" s="11" t="n">
        <v>0.4</v>
      </c>
    </row>
    <row r="67" customFormat="false" ht="15" hidden="false" customHeight="true" outlineLevel="0" collapsed="false">
      <c r="A67" s="1" t="s">
        <v>72</v>
      </c>
      <c r="B67" s="11" t="n">
        <v>0.02</v>
      </c>
    </row>
    <row r="68" customFormat="false" ht="15" hidden="false" customHeight="true" outlineLevel="0" collapsed="false">
      <c r="A68" s="1" t="s">
        <v>73</v>
      </c>
      <c r="B68" s="11" t="n">
        <v>0.9</v>
      </c>
    </row>
    <row r="69" customFormat="false" ht="15" hidden="false" customHeight="true" outlineLevel="0" collapsed="false">
      <c r="A69" s="1" t="s">
        <v>74</v>
      </c>
      <c r="B69" s="13" t="n">
        <v>1</v>
      </c>
    </row>
    <row r="70" customFormat="false" ht="15" hidden="false" customHeight="true" outlineLevel="0" collapsed="false">
      <c r="A70" s="1" t="s">
        <v>75</v>
      </c>
      <c r="B70" s="11" t="n">
        <v>0.005</v>
      </c>
    </row>
  </sheetData>
  <mergeCells count="11">
    <mergeCell ref="A1:F1"/>
    <mergeCell ref="A2:F2"/>
    <mergeCell ref="A4:F4"/>
    <mergeCell ref="A13:F13"/>
    <mergeCell ref="A18:F18"/>
    <mergeCell ref="A28:F28"/>
    <mergeCell ref="A42:F42"/>
    <mergeCell ref="A47:F47"/>
    <mergeCell ref="A52:F52"/>
    <mergeCell ref="A56:F56"/>
    <mergeCell ref="A62:F6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3" min="2" style="1" width="16"/>
    <col collapsed="false" customWidth="true" hidden="false" outlineLevel="0" max="4" min="4" style="1" width="70"/>
  </cols>
  <sheetData>
    <row r="1" customFormat="false" ht="15" hidden="false" customHeight="true" outlineLevel="0" collapsed="false">
      <c r="A1" s="14" t="s">
        <v>76</v>
      </c>
    </row>
    <row r="2" customFormat="false" ht="15" hidden="false" customHeight="true" outlineLevel="0" collapsed="false">
      <c r="A2" s="7" t="s">
        <v>77</v>
      </c>
    </row>
    <row r="3" customFormat="false" ht="15" hidden="false" customHeight="true" outlineLevel="0" collapsed="false">
      <c r="A3" s="14" t="s">
        <v>78</v>
      </c>
      <c r="B3" s="14" t="s">
        <v>79</v>
      </c>
      <c r="C3" s="14" t="s">
        <v>80</v>
      </c>
    </row>
    <row r="4" customFormat="false" ht="15" hidden="false" customHeight="true" outlineLevel="0" collapsed="false">
      <c r="A4" s="15" t="n">
        <v>-100000</v>
      </c>
      <c r="B4" s="1" t="s">
        <v>81</v>
      </c>
      <c r="C4" s="16" t="n">
        <v>0.19</v>
      </c>
      <c r="D4" s="7" t="s">
        <v>82</v>
      </c>
    </row>
    <row r="5" customFormat="false" ht="15" hidden="false" customHeight="true" outlineLevel="0" collapsed="false">
      <c r="A5" s="15" t="n">
        <v>0.2</v>
      </c>
      <c r="B5" s="1" t="s">
        <v>83</v>
      </c>
      <c r="C5" s="16" t="n">
        <v>0.16</v>
      </c>
    </row>
    <row r="6" customFormat="false" ht="15" hidden="false" customHeight="true" outlineLevel="0" collapsed="false">
      <c r="A6" s="15" t="n">
        <v>0.65</v>
      </c>
      <c r="B6" s="1" t="s">
        <v>84</v>
      </c>
      <c r="C6" s="16" t="n">
        <v>0.1261</v>
      </c>
    </row>
    <row r="7" customFormat="false" ht="15" hidden="false" customHeight="true" outlineLevel="0" collapsed="false">
      <c r="A7" s="15" t="n">
        <v>0.8</v>
      </c>
      <c r="B7" s="1" t="s">
        <v>85</v>
      </c>
      <c r="C7" s="16" t="n">
        <v>0.0885</v>
      </c>
    </row>
    <row r="8" customFormat="false" ht="15" hidden="false" customHeight="true" outlineLevel="0" collapsed="false">
      <c r="A8" s="15" t="n">
        <v>1.25</v>
      </c>
      <c r="B8" s="1" t="s">
        <v>86</v>
      </c>
      <c r="C8" s="16" t="n">
        <v>0.0509</v>
      </c>
    </row>
    <row r="9" customFormat="false" ht="15" hidden="false" customHeight="true" outlineLevel="0" collapsed="false">
      <c r="A9" s="15" t="n">
        <v>1.5</v>
      </c>
      <c r="B9" s="1" t="s">
        <v>87</v>
      </c>
      <c r="C9" s="16" t="n">
        <v>0.0321</v>
      </c>
    </row>
    <row r="10" customFormat="false" ht="15" hidden="false" customHeight="true" outlineLevel="0" collapsed="false">
      <c r="A10" s="15" t="n">
        <v>1.75</v>
      </c>
      <c r="B10" s="1" t="s">
        <v>88</v>
      </c>
      <c r="C10" s="16" t="n">
        <v>0.0275</v>
      </c>
    </row>
    <row r="11" customFormat="false" ht="15" hidden="false" customHeight="true" outlineLevel="0" collapsed="false">
      <c r="A11" s="15" t="n">
        <v>2</v>
      </c>
      <c r="B11" s="1" t="s">
        <v>89</v>
      </c>
      <c r="C11" s="16" t="n">
        <v>0.0184</v>
      </c>
    </row>
    <row r="12" customFormat="false" ht="15" hidden="false" customHeight="true" outlineLevel="0" collapsed="false">
      <c r="A12" s="15" t="n">
        <v>2.25</v>
      </c>
      <c r="B12" s="1" t="s">
        <v>90</v>
      </c>
      <c r="C12" s="16" t="n">
        <v>0.0138</v>
      </c>
    </row>
    <row r="13" customFormat="false" ht="15" hidden="false" customHeight="true" outlineLevel="0" collapsed="false">
      <c r="A13" s="15" t="n">
        <v>2.5</v>
      </c>
      <c r="B13" s="1" t="s">
        <v>91</v>
      </c>
      <c r="C13" s="16" t="n">
        <v>0.0111</v>
      </c>
    </row>
    <row r="14" customFormat="false" ht="15" hidden="false" customHeight="true" outlineLevel="0" collapsed="false">
      <c r="A14" s="15" t="n">
        <v>3</v>
      </c>
      <c r="B14" s="1" t="s">
        <v>92</v>
      </c>
      <c r="C14" s="16" t="n">
        <v>0.0089</v>
      </c>
    </row>
    <row r="15" customFormat="false" ht="15" hidden="false" customHeight="true" outlineLevel="0" collapsed="false">
      <c r="A15" s="15" t="n">
        <v>4.25</v>
      </c>
      <c r="B15" s="1" t="s">
        <v>93</v>
      </c>
      <c r="C15" s="16" t="n">
        <v>0.0078</v>
      </c>
    </row>
    <row r="16" customFormat="false" ht="15" hidden="false" customHeight="true" outlineLevel="0" collapsed="false">
      <c r="A16" s="15" t="n">
        <v>5.5</v>
      </c>
      <c r="B16" s="1" t="s">
        <v>94</v>
      </c>
      <c r="C16" s="16" t="n">
        <v>0.007</v>
      </c>
    </row>
    <row r="17" customFormat="false" ht="15" hidden="false" customHeight="true" outlineLevel="0" collapsed="false">
      <c r="A17" s="15" t="n">
        <v>6.5</v>
      </c>
      <c r="B17" s="1" t="s">
        <v>95</v>
      </c>
      <c r="C17" s="16" t="n">
        <v>0.0055</v>
      </c>
    </row>
    <row r="18" customFormat="false" ht="15" hidden="false" customHeight="true" outlineLevel="0" collapsed="false">
      <c r="A18" s="15" t="n">
        <v>8.5</v>
      </c>
      <c r="B18" s="1" t="s">
        <v>96</v>
      </c>
      <c r="C18" s="16" t="n">
        <v>0.004</v>
      </c>
    </row>
    <row r="20" customFormat="false" ht="15" hidden="false" customHeight="true" outlineLevel="0" collapsed="false">
      <c r="A20" s="7" t="s">
        <v>97</v>
      </c>
    </row>
    <row r="22" customFormat="false" ht="15" hidden="false" customHeight="false" outlineLevel="0" collapsed="false">
      <c r="A22" s="7" t="s">
        <v>98</v>
      </c>
      <c r="B22" s="1" t="s">
        <v>99</v>
      </c>
    </row>
    <row r="23" customFormat="false" ht="15" hidden="false" customHeight="false" outlineLevel="0" collapsed="false">
      <c r="A23" s="7" t="s">
        <v>100</v>
      </c>
      <c r="B23" s="1" t="s">
        <v>101</v>
      </c>
    </row>
    <row r="24" customFormat="false" ht="15" hidden="false" customHeight="false" outlineLevel="0" collapsed="false">
      <c r="A24" s="7" t="s">
        <v>102</v>
      </c>
      <c r="B24" s="17" t="n">
        <v>4300</v>
      </c>
    </row>
    <row r="26" customFormat="false" ht="15" hidden="false" customHeight="false" outlineLevel="0" collapsed="false">
      <c r="A26" s="7" t="s">
        <v>103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N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50"/>
    <col collapsed="false" customWidth="true" hidden="false" outlineLevel="0" max="3" min="3" style="1" width="2"/>
    <col collapsed="false" customWidth="true" hidden="false" outlineLevel="0" max="13" min="4" style="1" width="13"/>
    <col collapsed="false" customWidth="true" hidden="false" outlineLevel="0" max="14" min="14" style="1" width="60"/>
  </cols>
  <sheetData>
    <row r="1" customFormat="false" ht="21.75" hidden="false" customHeight="true" outlineLevel="0" collapsed="false">
      <c r="B1" s="2" t="s">
        <v>104</v>
      </c>
      <c r="C1" s="2"/>
      <c r="D1" s="2"/>
      <c r="E1" s="2"/>
      <c r="F1" s="2"/>
      <c r="G1" s="2"/>
      <c r="H1" s="2"/>
      <c r="I1" s="2"/>
      <c r="J1" s="2"/>
      <c r="K1" s="2"/>
      <c r="L1" s="2"/>
      <c r="M1" s="2"/>
    </row>
    <row r="3" customFormat="false" ht="15" hidden="false" customHeight="true" outlineLevel="0" collapsed="false">
      <c r="B3" s="4" t="s">
        <v>105</v>
      </c>
      <c r="C3" s="4"/>
      <c r="D3" s="4"/>
      <c r="E3" s="4"/>
      <c r="F3" s="4"/>
      <c r="G3" s="4"/>
      <c r="H3" s="4"/>
      <c r="I3" s="4"/>
      <c r="J3" s="4"/>
      <c r="K3" s="4"/>
      <c r="L3" s="4"/>
      <c r="M3" s="4"/>
    </row>
    <row r="4" customFormat="false" ht="15" hidden="false" customHeight="true" outlineLevel="0" collapsed="false">
      <c r="D4" s="10" t="s">
        <v>23</v>
      </c>
      <c r="E4" s="10" t="s">
        <v>24</v>
      </c>
      <c r="F4" s="10" t="s">
        <v>25</v>
      </c>
      <c r="G4" s="10" t="s">
        <v>26</v>
      </c>
      <c r="H4" s="10" t="s">
        <v>27</v>
      </c>
    </row>
    <row r="5" customFormat="false" ht="15" hidden="false" customHeight="true" outlineLevel="0" collapsed="false">
      <c r="B5" s="1" t="s">
        <v>106</v>
      </c>
      <c r="D5" s="18" t="n">
        <f aca="false">Inputs!F20</f>
        <v>4520</v>
      </c>
    </row>
    <row r="6" customFormat="false" ht="15" hidden="false" customHeight="true" outlineLevel="0" collapsed="false">
      <c r="B6" s="1" t="s">
        <v>107</v>
      </c>
      <c r="D6" s="16" t="n">
        <f aca="false">IFERROR(Inputs!B21/Inputs!B20,0)</f>
        <v>0.110526315789474</v>
      </c>
      <c r="E6" s="16" t="n">
        <f aca="false">IFERROR(Inputs!C21/Inputs!C20,0)</f>
        <v>0.115189873417722</v>
      </c>
      <c r="F6" s="16" t="n">
        <f aca="false">IFERROR(Inputs!D21/Inputs!D20,0)</f>
        <v>0.119617224880383</v>
      </c>
      <c r="G6" s="16" t="n">
        <f aca="false">IFERROR(Inputs!E21/Inputs!E20,0)</f>
        <v>0.117169373549884</v>
      </c>
      <c r="H6" s="16" t="n">
        <f aca="false">IFERROR(Inputs!F21/Inputs!F20,0)</f>
        <v>0.120575221238938</v>
      </c>
    </row>
    <row r="7" customFormat="false" ht="15" hidden="false" customHeight="true" outlineLevel="0" collapsed="false">
      <c r="B7" s="1" t="s">
        <v>108</v>
      </c>
      <c r="D7" s="16" t="n">
        <f aca="false">MEDIAN(D6:H6)</f>
        <v>0.117169373549884</v>
      </c>
      <c r="N7" s="7" t="s">
        <v>109</v>
      </c>
    </row>
    <row r="8" customFormat="false" ht="15" hidden="false" customHeight="true" outlineLevel="0" collapsed="false">
      <c r="B8" s="1" t="s">
        <v>110</v>
      </c>
      <c r="D8" s="18" t="n">
        <f aca="false">D5*D7</f>
        <v>529.605568445476</v>
      </c>
    </row>
    <row r="9" customFormat="false" ht="15" hidden="false" customHeight="true" outlineLevel="0" collapsed="false">
      <c r="B9" s="1" t="s">
        <v>111</v>
      </c>
      <c r="D9" s="16" t="n">
        <f aca="false">IFERROR(Inputs!B25/Inputs!B24,0)</f>
        <v>0.270949720670391</v>
      </c>
      <c r="E9" s="16" t="n">
        <f aca="false">IFERROR(Inputs!C25/Inputs!C24,0)</f>
        <v>0.268844221105528</v>
      </c>
      <c r="F9" s="16" t="n">
        <f aca="false">IFERROR(Inputs!D25/Inputs!D24,0)</f>
        <v>0.269662921348315</v>
      </c>
      <c r="G9" s="16" t="n">
        <f aca="false">IFERROR(Inputs!E25/Inputs!E24,0)</f>
        <v>0.270693512304251</v>
      </c>
      <c r="H9" s="16" t="n">
        <f aca="false">IFERROR(Inputs!F25/Inputs!F24,0)</f>
        <v>0.269387755102041</v>
      </c>
    </row>
    <row r="10" customFormat="false" ht="15" hidden="false" customHeight="true" outlineLevel="0" collapsed="false">
      <c r="B10" s="1" t="s">
        <v>112</v>
      </c>
      <c r="D10" s="16" t="n">
        <f aca="false">MEDIAN(D9:H9)</f>
        <v>0.269662921348315</v>
      </c>
    </row>
    <row r="11" customFormat="false" ht="15" hidden="false" customHeight="true" outlineLevel="0" collapsed="false">
      <c r="B11" s="1" t="s">
        <v>113</v>
      </c>
      <c r="D11" s="16" t="n">
        <f aca="false">IF(OR(D10&lt;0.05,D10&gt;0.45),Inputs!B54,D10)</f>
        <v>0.269662921348315</v>
      </c>
      <c r="N11" s="7" t="s">
        <v>114</v>
      </c>
    </row>
    <row r="12" customFormat="false" ht="15" hidden="false" customHeight="true" outlineLevel="0" collapsed="false">
      <c r="B12" s="1" t="s">
        <v>115</v>
      </c>
      <c r="D12" s="18" t="n">
        <f aca="false">D8*(1-D11)</f>
        <v>386.790583696134</v>
      </c>
    </row>
    <row r="14" customFormat="false" ht="15" hidden="false" customHeight="true" outlineLevel="0" collapsed="false">
      <c r="B14" s="4" t="s">
        <v>116</v>
      </c>
      <c r="C14" s="4"/>
      <c r="D14" s="4"/>
      <c r="E14" s="4"/>
      <c r="F14" s="4"/>
      <c r="G14" s="4"/>
      <c r="H14" s="4"/>
      <c r="I14" s="4"/>
      <c r="J14" s="4"/>
      <c r="K14" s="4"/>
      <c r="L14" s="4"/>
      <c r="M14" s="4"/>
    </row>
    <row r="15" customFormat="false" ht="15" hidden="false" customHeight="true" outlineLevel="0" collapsed="false">
      <c r="D15" s="10" t="s">
        <v>23</v>
      </c>
      <c r="E15" s="10" t="s">
        <v>24</v>
      </c>
      <c r="F15" s="10" t="s">
        <v>25</v>
      </c>
      <c r="G15" s="10" t="s">
        <v>26</v>
      </c>
      <c r="H15" s="10" t="s">
        <v>27</v>
      </c>
    </row>
    <row r="16" customFormat="false" ht="15" hidden="false" customHeight="true" outlineLevel="0" collapsed="false">
      <c r="B16" s="1" t="s">
        <v>117</v>
      </c>
      <c r="D16" s="18" t="n">
        <f aca="false">Inputs!B34+Inputs!B35+Inputs!B38-Inputs!B30-Inputs!B31-Inputs!B39</f>
        <v>2685</v>
      </c>
      <c r="E16" s="18" t="n">
        <f aca="false">Inputs!C34+Inputs!C35+Inputs!C38-Inputs!C30-Inputs!C31-Inputs!C39</f>
        <v>2717</v>
      </c>
      <c r="F16" s="18" t="n">
        <f aca="false">Inputs!D34+Inputs!D35+Inputs!D38-Inputs!D30-Inputs!D31-Inputs!D39</f>
        <v>2848</v>
      </c>
      <c r="G16" s="18" t="n">
        <f aca="false">Inputs!E34+Inputs!E35+Inputs!E38-Inputs!E30-Inputs!E31-Inputs!E39</f>
        <v>2900</v>
      </c>
      <c r="H16" s="18" t="n">
        <f aca="false">Inputs!F34+Inputs!F35+Inputs!F38-Inputs!F30-Inputs!F31-Inputs!F39</f>
        <v>2985</v>
      </c>
    </row>
    <row r="17" customFormat="false" ht="15" hidden="false" customHeight="true" outlineLevel="0" collapsed="false">
      <c r="B17" s="1" t="s">
        <v>118</v>
      </c>
      <c r="D17" s="18" t="n">
        <f aca="false">(Inputs!B32-Inputs!B30-Inputs!B31)-(Inputs!B33-Inputs!B34)</f>
        <v>170</v>
      </c>
      <c r="E17" s="18" t="n">
        <f aca="false">(Inputs!C32-Inputs!C30-Inputs!C31)-(Inputs!C33-Inputs!C34)</f>
        <v>160</v>
      </c>
      <c r="F17" s="18" t="n">
        <f aca="false">(Inputs!D32-Inputs!D30-Inputs!D31)-(Inputs!D33-Inputs!D34)</f>
        <v>170</v>
      </c>
      <c r="G17" s="18" t="n">
        <f aca="false">(Inputs!E32-Inputs!E30-Inputs!E31)-(Inputs!E33-Inputs!E34)</f>
        <v>160</v>
      </c>
      <c r="H17" s="18" t="n">
        <f aca="false">(Inputs!F32-Inputs!F30-Inputs!F31)-(Inputs!F33-Inputs!F34)</f>
        <v>165</v>
      </c>
    </row>
    <row r="18" customFormat="false" ht="15" hidden="false" customHeight="true" outlineLevel="0" collapsed="false">
      <c r="B18" s="1" t="s">
        <v>119</v>
      </c>
      <c r="D18" s="18" t="n">
        <f aca="false">AVERAGE(G16:H16)</f>
        <v>2942.5</v>
      </c>
    </row>
    <row r="19" customFormat="false" ht="15" hidden="false" customHeight="true" outlineLevel="0" collapsed="false">
      <c r="B19" s="1" t="s">
        <v>120</v>
      </c>
      <c r="D19" s="16" t="n">
        <f aca="false">IF(D18&lt;=0,Inputs!B66,D12/D18)</f>
        <v>0.131449646115933</v>
      </c>
    </row>
    <row r="20" customFormat="false" ht="15" hidden="false" customHeight="true" outlineLevel="0" collapsed="false">
      <c r="B20" s="1" t="s">
        <v>121</v>
      </c>
      <c r="D20" s="16" t="n">
        <f aca="false">MIN(Inputs!B66,MAX(Inputs!B67,D19))</f>
        <v>0.131449646115933</v>
      </c>
    </row>
    <row r="22" customFormat="false" ht="15" hidden="false" customHeight="true" outlineLevel="0" collapsed="false">
      <c r="B22" s="4" t="s">
        <v>122</v>
      </c>
      <c r="C22" s="4"/>
      <c r="D22" s="4"/>
      <c r="E22" s="4"/>
      <c r="F22" s="4"/>
      <c r="G22" s="4"/>
      <c r="H22" s="4"/>
      <c r="I22" s="4"/>
      <c r="J22" s="4"/>
      <c r="K22" s="4"/>
      <c r="L22" s="4"/>
      <c r="M22" s="4"/>
    </row>
    <row r="23" customFormat="false" ht="15" hidden="false" customHeight="true" outlineLevel="0" collapsed="false">
      <c r="B23" s="1" t="s">
        <v>123</v>
      </c>
      <c r="D23" s="18" t="n">
        <f aca="false">SUM(Inputs!C44:F44)+SUM(Inputs!C45:F45)-SUM(Inputs!C22:F22)+(H17-D17)</f>
        <v>378</v>
      </c>
      <c r="N23" s="7" t="s">
        <v>124</v>
      </c>
    </row>
    <row r="24" customFormat="false" ht="15" hidden="false" customHeight="true" outlineLevel="0" collapsed="false">
      <c r="B24" s="1" t="s">
        <v>125</v>
      </c>
      <c r="D24" s="18" t="n">
        <f aca="false">SUM(Inputs!C21:F21)*(1-D11)</f>
        <v>1464.32584269663</v>
      </c>
    </row>
    <row r="25" customFormat="false" ht="15" hidden="false" customHeight="true" outlineLevel="0" collapsed="false">
      <c r="B25" s="1" t="s">
        <v>126</v>
      </c>
      <c r="D25" s="16" t="n">
        <f aca="false">IF(D24&lt;=0,0,D23/D24)</f>
        <v>0.258139267216574</v>
      </c>
    </row>
    <row r="26" customFormat="false" ht="15" hidden="false" customHeight="true" outlineLevel="0" collapsed="false">
      <c r="B26" s="1" t="s">
        <v>127</v>
      </c>
      <c r="D26" s="16" t="n">
        <f aca="false">IFERROR(IF(Inputs!B20&lt;=0,0,(Inputs!F20/Inputs!B20)^(1/4)-1),0)</f>
        <v>0.0443322978522878</v>
      </c>
    </row>
    <row r="27" customFormat="false" ht="15" hidden="false" customHeight="true" outlineLevel="0" collapsed="false">
      <c r="B27" s="1" t="s">
        <v>128</v>
      </c>
      <c r="D27" s="18" t="n">
        <f aca="false">IFERROR(D5*MAX(0,D26)/Inputs!B58,0)</f>
        <v>125.238741432713</v>
      </c>
      <c r="N27" s="7" t="s">
        <v>129</v>
      </c>
    </row>
    <row r="28" customFormat="false" ht="15" hidden="false" customHeight="true" outlineLevel="0" collapsed="false">
      <c r="B28" s="1" t="s">
        <v>130</v>
      </c>
      <c r="D28" s="16" t="n">
        <f aca="false">IF(D12&lt;=0,0,D27/D12)</f>
        <v>0.323789530334331</v>
      </c>
    </row>
    <row r="29" customFormat="false" ht="15" hidden="false" customHeight="true" outlineLevel="0" collapsed="false">
      <c r="B29" s="1" t="s">
        <v>131</v>
      </c>
      <c r="D29" s="16" t="n">
        <f aca="false">MIN(Inputs!B68,MAX(0,MIN(D25,D28)))</f>
        <v>0.258139267216574</v>
      </c>
      <c r="N29" s="7" t="s">
        <v>132</v>
      </c>
    </row>
    <row r="30" customFormat="false" ht="15" hidden="false" customHeight="true" outlineLevel="0" collapsed="false">
      <c r="B30" s="1" t="s">
        <v>133</v>
      </c>
      <c r="D30" s="16" t="n">
        <f aca="false">IFERROR(ABS(D25-D28)/MAX(ABS(D25),ABS(D28)),0)</f>
        <v>0.202755978706197</v>
      </c>
    </row>
    <row r="32" customFormat="false" ht="15" hidden="false" customHeight="true" outlineLevel="0" collapsed="false">
      <c r="B32" s="4" t="s">
        <v>134</v>
      </c>
      <c r="C32" s="4"/>
      <c r="D32" s="4"/>
      <c r="E32" s="4"/>
      <c r="F32" s="4"/>
      <c r="G32" s="4"/>
      <c r="H32" s="4"/>
      <c r="I32" s="4"/>
      <c r="J32" s="4"/>
      <c r="K32" s="4"/>
      <c r="L32" s="4"/>
      <c r="M32" s="4"/>
    </row>
    <row r="33" customFormat="false" ht="15" hidden="false" customHeight="true" outlineLevel="0" collapsed="false">
      <c r="B33" s="1" t="s">
        <v>135</v>
      </c>
      <c r="D33" s="18" t="n">
        <f aca="false">Inputs!F34+Inputs!F35</f>
        <v>1345</v>
      </c>
    </row>
    <row r="34" customFormat="false" ht="15" hidden="false" customHeight="true" outlineLevel="0" collapsed="false">
      <c r="B34" s="1" t="s">
        <v>136</v>
      </c>
      <c r="D34" s="15" t="n">
        <f aca="false">IFERROR(D33/Inputs!B16,0)</f>
        <v>0.130709426627794</v>
      </c>
    </row>
    <row r="35" customFormat="false" ht="15" hidden="false" customHeight="true" outlineLevel="0" collapsed="false">
      <c r="B35" s="1" t="s">
        <v>137</v>
      </c>
      <c r="D35" s="15" t="n">
        <f aca="false">Inputs!B57*(1+(1-Inputs!B54)*D34)</f>
        <v>0.934438289601555</v>
      </c>
      <c r="N35" s="7" t="s">
        <v>138</v>
      </c>
    </row>
    <row r="36" customFormat="false" ht="15" hidden="false" customHeight="true" outlineLevel="0" collapsed="false">
      <c r="B36" s="1" t="s">
        <v>139</v>
      </c>
      <c r="D36" s="16" t="n">
        <f aca="false">Inputs!B48+D35*Inputs!B49+Inputs!B53</f>
        <v>0.0858530379008746</v>
      </c>
    </row>
    <row r="37" customFormat="false" ht="15" hidden="false" customHeight="true" outlineLevel="0" collapsed="false">
      <c r="B37" s="1" t="s">
        <v>140</v>
      </c>
      <c r="D37" s="18" t="n">
        <f aca="false">MEDIAN(Inputs!B23:F23)</f>
        <v>60</v>
      </c>
    </row>
    <row r="38" customFormat="false" ht="15" hidden="false" customHeight="true" outlineLevel="0" collapsed="false">
      <c r="B38" s="1" t="s">
        <v>141</v>
      </c>
      <c r="D38" s="15" t="n">
        <f aca="false">IF(D37&lt;=0,100,D8/D37)</f>
        <v>8.82675947409126</v>
      </c>
    </row>
    <row r="39" customFormat="false" ht="15" hidden="false" customHeight="true" outlineLevel="0" collapsed="false">
      <c r="B39" s="1" t="s">
        <v>142</v>
      </c>
      <c r="D39" s="1" t="str">
        <f aca="false">INDEX(RefData!B4:B18,MATCH(D38,RefData!A4:A18,1))</f>
        <v>AAA</v>
      </c>
    </row>
    <row r="40" customFormat="false" ht="15" hidden="false" customHeight="true" outlineLevel="0" collapsed="false">
      <c r="B40" s="1" t="s">
        <v>143</v>
      </c>
      <c r="D40" s="16" t="n">
        <f aca="false">INDEX(RefData!C4:C18,MATCH(D38,RefData!A4:A18,1))</f>
        <v>0.004</v>
      </c>
    </row>
    <row r="41" customFormat="false" ht="15" hidden="false" customHeight="true" outlineLevel="0" collapsed="false">
      <c r="B41" s="1" t="s">
        <v>144</v>
      </c>
      <c r="D41" s="16" t="n">
        <f aca="false">Inputs!B48+D40+Inputs!B53</f>
        <v>0.045</v>
      </c>
    </row>
    <row r="42" customFormat="false" ht="15" hidden="false" customHeight="true" outlineLevel="0" collapsed="false">
      <c r="B42" s="1" t="s">
        <v>145</v>
      </c>
      <c r="D42" s="16" t="n">
        <f aca="false">IFERROR(IF(AVERAGE(Inputs!E34:E35,Inputs!F34:F35)&lt;=0,0,Inputs!F23/((Inputs!E34+Inputs!E35+Inputs!F34+Inputs!F35)/2)),0)</f>
        <v>0.0435424354243542</v>
      </c>
      <c r="N42" s="7" t="s">
        <v>146</v>
      </c>
    </row>
    <row r="43" customFormat="false" ht="15" hidden="false" customHeight="true" outlineLevel="0" collapsed="false">
      <c r="B43" s="1" t="s">
        <v>147</v>
      </c>
      <c r="D43" s="16" t="n">
        <f aca="false">MIN(0.25,MAX(D41,D42))</f>
        <v>0.045</v>
      </c>
      <c r="N43" s="7" t="s">
        <v>148</v>
      </c>
    </row>
    <row r="44" customFormat="false" ht="15" hidden="false" customHeight="true" outlineLevel="0" collapsed="false">
      <c r="B44" s="1" t="s">
        <v>149</v>
      </c>
      <c r="D44" s="16" t="n">
        <f aca="false">D43*(1-Inputs!B54)</f>
        <v>0.0342</v>
      </c>
    </row>
    <row r="45" customFormat="false" ht="15" hidden="false" customHeight="true" outlineLevel="0" collapsed="false">
      <c r="B45" s="1" t="s">
        <v>150</v>
      </c>
      <c r="D45" s="16" t="n">
        <f aca="false">IF(Inputs!B16+D33&lt;=0,1,Inputs!B16/(Inputs!B16+D33))</f>
        <v>0.884400515685432</v>
      </c>
    </row>
    <row r="46" customFormat="false" ht="15" hidden="false" customHeight="true" outlineLevel="0" collapsed="false">
      <c r="B46" s="1" t="s">
        <v>151</v>
      </c>
      <c r="D46" s="16" t="n">
        <f aca="false">1-D45</f>
        <v>0.115599484314568</v>
      </c>
    </row>
    <row r="47" customFormat="false" ht="15" hidden="false" customHeight="true" outlineLevel="0" collapsed="false">
      <c r="B47" s="1" t="s">
        <v>152</v>
      </c>
      <c r="D47" s="19" t="n">
        <f aca="false">D45*D36+D46*D44</f>
        <v>0.0798819733562527</v>
      </c>
    </row>
    <row r="49" customFormat="false" ht="15" hidden="false" customHeight="true" outlineLevel="0" collapsed="false">
      <c r="B49" s="4" t="s">
        <v>153</v>
      </c>
      <c r="C49" s="4"/>
      <c r="D49" s="4"/>
      <c r="E49" s="4"/>
      <c r="F49" s="4"/>
      <c r="G49" s="4"/>
      <c r="H49" s="4"/>
      <c r="I49" s="4"/>
      <c r="J49" s="4"/>
      <c r="K49" s="4"/>
      <c r="L49" s="4"/>
      <c r="M49" s="4"/>
    </row>
    <row r="50" customFormat="false" ht="15" hidden="false" customHeight="true" outlineLevel="0" collapsed="false">
      <c r="B50" s="1" t="s">
        <v>154</v>
      </c>
      <c r="D50" s="19" t="n">
        <f aca="false">MIN(Inputs!B65,MAX(0,D29*D20))</f>
        <v>0.033932315324245</v>
      </c>
      <c r="N50" s="7" t="s">
        <v>155</v>
      </c>
    </row>
    <row r="51" customFormat="false" ht="15" hidden="false" customHeight="true" outlineLevel="0" collapsed="false">
      <c r="B51" s="1" t="s">
        <v>156</v>
      </c>
      <c r="D51" s="16" t="n">
        <f aca="false">MIN(Inputs!B48,Inputs!B50)</f>
        <v>0.026</v>
      </c>
    </row>
    <row r="52" customFormat="false" ht="15" hidden="false" customHeight="true" outlineLevel="0" collapsed="false">
      <c r="B52" s="1" t="s">
        <v>157</v>
      </c>
      <c r="D52" s="16" t="n">
        <f aca="false">MAX(D47,D51+Inputs!B70)</f>
        <v>0.0798819733562527</v>
      </c>
      <c r="N52" s="7" t="s">
        <v>158</v>
      </c>
    </row>
    <row r="53" customFormat="false" ht="15" hidden="false" customHeight="true" outlineLevel="0" collapsed="false">
      <c r="B53" s="1" t="s">
        <v>159</v>
      </c>
      <c r="D53" s="16" t="n">
        <f aca="false">Inputs!B54</f>
        <v>0.24</v>
      </c>
    </row>
    <row r="54" customFormat="false" ht="15" hidden="false" customHeight="true" outlineLevel="0" collapsed="false">
      <c r="B54" s="1" t="s">
        <v>160</v>
      </c>
      <c r="D54" s="15" t="n">
        <f aca="false">IF(Inputs!B69=1,0.5,0)</f>
        <v>0.5</v>
      </c>
    </row>
    <row r="55" customFormat="false" ht="15" hidden="false" customHeight="true" outlineLevel="0" collapsed="false">
      <c r="B55" s="1" t="s">
        <v>161</v>
      </c>
      <c r="D55" s="20" t="n">
        <f aca="false">Inputs!B63+Inputs!B64</f>
        <v>10</v>
      </c>
    </row>
    <row r="57" customFormat="false" ht="15" hidden="false" customHeight="true" outlineLevel="0" collapsed="false">
      <c r="B57" s="4" t="s">
        <v>162</v>
      </c>
      <c r="C57" s="4"/>
      <c r="D57" s="4"/>
      <c r="E57" s="4"/>
      <c r="F57" s="4"/>
      <c r="G57" s="4"/>
      <c r="H57" s="4"/>
      <c r="I57" s="4"/>
      <c r="J57" s="4"/>
      <c r="K57" s="4"/>
      <c r="L57" s="4"/>
      <c r="M57" s="4"/>
    </row>
    <row r="58" customFormat="false" ht="15" hidden="false" customHeight="true" outlineLevel="0" collapsed="false">
      <c r="B58" s="1" t="s">
        <v>163</v>
      </c>
      <c r="D58" s="10" t="n">
        <v>1</v>
      </c>
      <c r="E58" s="10" t="n">
        <v>2</v>
      </c>
      <c r="F58" s="10" t="n">
        <v>3</v>
      </c>
      <c r="G58" s="10" t="n">
        <v>4</v>
      </c>
      <c r="H58" s="10" t="n">
        <v>5</v>
      </c>
      <c r="I58" s="10" t="n">
        <v>6</v>
      </c>
      <c r="J58" s="10" t="n">
        <v>7</v>
      </c>
      <c r="K58" s="10" t="n">
        <v>8</v>
      </c>
      <c r="L58" s="10" t="n">
        <v>9</v>
      </c>
      <c r="M58" s="10" t="n">
        <v>10</v>
      </c>
    </row>
    <row r="59" customFormat="false" ht="15" hidden="false" customHeight="true" outlineLevel="0" collapsed="false">
      <c r="B59" s="1" t="s">
        <v>164</v>
      </c>
      <c r="D59" s="16" t="n">
        <f aca="false">IF(1&lt;=Inputs!$B$63,$D$50,$D$50+($D$51-$D$50)*(1-Inputs!$B$63)/Inputs!$B$64)</f>
        <v>0.033932315324245</v>
      </c>
      <c r="E59" s="16" t="n">
        <f aca="false">IF(2&lt;=Inputs!$B$63,$D$50,$D$50+($D$51-$D$50)*(2-Inputs!$B$63)/Inputs!$B$64)</f>
        <v>0.033932315324245</v>
      </c>
      <c r="F59" s="16" t="n">
        <f aca="false">IF(3&lt;=Inputs!$B$63,$D$50,$D$50+($D$51-$D$50)*(3-Inputs!$B$63)/Inputs!$B$64)</f>
        <v>0.033932315324245</v>
      </c>
      <c r="G59" s="16" t="n">
        <f aca="false">IF(4&lt;=Inputs!$B$63,$D$50,$D$50+($D$51-$D$50)*(4-Inputs!$B$63)/Inputs!$B$64)</f>
        <v>0.033932315324245</v>
      </c>
      <c r="H59" s="16" t="n">
        <f aca="false">IF(5&lt;=Inputs!$B$63,$D$50,$D$50+($D$51-$D$50)*(5-Inputs!$B$63)/Inputs!$B$64)</f>
        <v>0.033932315324245</v>
      </c>
      <c r="I59" s="16" t="n">
        <f aca="false">IF(6&lt;=Inputs!$B$63,$D$50,$D$50+($D$51-$D$50)*(6-Inputs!$B$63)/Inputs!$B$64)</f>
        <v>0.032345852259396</v>
      </c>
      <c r="J59" s="16" t="n">
        <f aca="false">IF(7&lt;=Inputs!$B$63,$D$50,$D$50+($D$51-$D$50)*(7-Inputs!$B$63)/Inputs!$B$64)</f>
        <v>0.030759389194547</v>
      </c>
      <c r="K59" s="16" t="n">
        <f aca="false">IF(8&lt;=Inputs!$B$63,$D$50,$D$50+($D$51-$D$50)*(8-Inputs!$B$63)/Inputs!$B$64)</f>
        <v>0.029172926129698</v>
      </c>
      <c r="L59" s="16" t="n">
        <f aca="false">IF(9&lt;=Inputs!$B$63,$D$50,$D$50+($D$51-$D$50)*(9-Inputs!$B$63)/Inputs!$B$64)</f>
        <v>0.027586463064849</v>
      </c>
      <c r="M59" s="16" t="n">
        <f aca="false">IF(10&lt;=Inputs!$B$63,$D$50,$D$50+($D$51-$D$50)*(10-Inputs!$B$63)/Inputs!$B$64)</f>
        <v>0.026</v>
      </c>
    </row>
    <row r="60" customFormat="false" ht="15" hidden="false" customHeight="true" outlineLevel="0" collapsed="false">
      <c r="B60" s="1" t="s">
        <v>165</v>
      </c>
      <c r="D60" s="16" t="n">
        <f aca="false">IF(1&lt;=Inputs!$B$63,$D$20,$D$20+($D$52-$D$20)*(1-Inputs!$B$63)/Inputs!$B$64)</f>
        <v>0.131449646115933</v>
      </c>
      <c r="E60" s="16" t="n">
        <f aca="false">IF(2&lt;=Inputs!$B$63,$D$20,$D$20+($D$52-$D$20)*(2-Inputs!$B$63)/Inputs!$B$64)</f>
        <v>0.131449646115933</v>
      </c>
      <c r="F60" s="16" t="n">
        <f aca="false">IF(3&lt;=Inputs!$B$63,$D$20,$D$20+($D$52-$D$20)*(3-Inputs!$B$63)/Inputs!$B$64)</f>
        <v>0.131449646115933</v>
      </c>
      <c r="G60" s="16" t="n">
        <f aca="false">IF(4&lt;=Inputs!$B$63,$D$20,$D$20+($D$52-$D$20)*(4-Inputs!$B$63)/Inputs!$B$64)</f>
        <v>0.131449646115933</v>
      </c>
      <c r="H60" s="16" t="n">
        <f aca="false">IF(5&lt;=Inputs!$B$63,$D$20,$D$20+($D$52-$D$20)*(5-Inputs!$B$63)/Inputs!$B$64)</f>
        <v>0.131449646115933</v>
      </c>
      <c r="I60" s="16" t="n">
        <f aca="false">IF(6&lt;=Inputs!$B$63,$D$20,$D$20+($D$52-$D$20)*(6-Inputs!$B$63)/Inputs!$B$64)</f>
        <v>0.121136111563997</v>
      </c>
      <c r="J60" s="16" t="n">
        <f aca="false">IF(7&lt;=Inputs!$B$63,$D$20,$D$20+($D$52-$D$20)*(7-Inputs!$B$63)/Inputs!$B$64)</f>
        <v>0.110822577012061</v>
      </c>
      <c r="K60" s="16" t="n">
        <f aca="false">IF(8&lt;=Inputs!$B$63,$D$20,$D$20+($D$52-$D$20)*(8-Inputs!$B$63)/Inputs!$B$64)</f>
        <v>0.100509042460125</v>
      </c>
      <c r="L60" s="16" t="n">
        <f aca="false">IF(9&lt;=Inputs!$B$63,$D$20,$D$20+($D$52-$D$20)*(9-Inputs!$B$63)/Inputs!$B$64)</f>
        <v>0.0901955079081888</v>
      </c>
      <c r="M60" s="16" t="n">
        <f aca="false">IF(10&lt;=Inputs!$B$63,$D$20,$D$20+($D$52-$D$20)*(10-Inputs!$B$63)/Inputs!$B$64)</f>
        <v>0.0798819733562527</v>
      </c>
    </row>
    <row r="61" customFormat="false" ht="15" hidden="false" customHeight="true" outlineLevel="0" collapsed="false">
      <c r="B61" s="1" t="s">
        <v>166</v>
      </c>
      <c r="D61" s="16" t="n">
        <f aca="false">$D$11+($D$53-$D$11)*1/$D$55</f>
        <v>0.266696629213483</v>
      </c>
      <c r="E61" s="16" t="n">
        <f aca="false">$D$11+($D$53-$D$11)*2/$D$55</f>
        <v>0.263730337078652</v>
      </c>
      <c r="F61" s="16" t="n">
        <f aca="false">$D$11+($D$53-$D$11)*3/$D$55</f>
        <v>0.26076404494382</v>
      </c>
      <c r="G61" s="16" t="n">
        <f aca="false">$D$11+($D$53-$D$11)*4/$D$55</f>
        <v>0.257797752808989</v>
      </c>
      <c r="H61" s="16" t="n">
        <f aca="false">$D$11+($D$53-$D$11)*5/$D$55</f>
        <v>0.254831460674157</v>
      </c>
      <c r="I61" s="16" t="n">
        <f aca="false">$D$11+($D$53-$D$11)*6/$D$55</f>
        <v>0.251865168539326</v>
      </c>
      <c r="J61" s="16" t="n">
        <f aca="false">$D$11+($D$53-$D$11)*7/$D$55</f>
        <v>0.248898876404494</v>
      </c>
      <c r="K61" s="16" t="n">
        <f aca="false">$D$11+($D$53-$D$11)*8/$D$55</f>
        <v>0.245932584269663</v>
      </c>
      <c r="L61" s="16" t="n">
        <f aca="false">$D$11+($D$53-$D$11)*9/$D$55</f>
        <v>0.242966292134831</v>
      </c>
      <c r="M61" s="16" t="n">
        <f aca="false">$D$11+($D$53-$D$11)*10/$D$55</f>
        <v>0.24</v>
      </c>
      <c r="N61" s="7" t="s">
        <v>167</v>
      </c>
    </row>
    <row r="62" customFormat="false" ht="15" hidden="false" customHeight="true" outlineLevel="0" collapsed="false">
      <c r="B62" s="1" t="s">
        <v>29</v>
      </c>
      <c r="D62" s="18" t="n">
        <f aca="false">$D$8*(1+D59)</f>
        <v>547.576311591444</v>
      </c>
      <c r="E62" s="18" t="n">
        <f aca="false">D62*(1+E59)</f>
        <v>566.156843660452</v>
      </c>
      <c r="F62" s="18" t="n">
        <f aca="false">E62*(1+F59)</f>
        <v>585.367856202517</v>
      </c>
      <c r="G62" s="18" t="n">
        <f aca="false">F62*(1+G59)</f>
        <v>605.230742879858</v>
      </c>
      <c r="H62" s="18" t="n">
        <f aca="false">G62*(1+H59)</f>
        <v>625.767623291185</v>
      </c>
      <c r="I62" s="18" t="n">
        <f aca="false">H62*(1+I59)</f>
        <v>646.008610382875</v>
      </c>
      <c r="J62" s="18" t="n">
        <f aca="false">I62*(1+J59)</f>
        <v>665.87944065267</v>
      </c>
      <c r="K62" s="18" t="n">
        <f aca="false">J62*(1+K59)</f>
        <v>685.305092386115</v>
      </c>
      <c r="L62" s="18" t="n">
        <f aca="false">K62*(1+L59)</f>
        <v>704.210236005378</v>
      </c>
      <c r="M62" s="18" t="n">
        <f aca="false">L62*(1+M59)</f>
        <v>722.519702141517</v>
      </c>
    </row>
    <row r="63" customFormat="false" ht="15" hidden="false" customHeight="true" outlineLevel="0" collapsed="false">
      <c r="B63" s="1" t="s">
        <v>168</v>
      </c>
      <c r="D63" s="18" t="n">
        <f aca="false">D62*(1-D61)</f>
        <v>401.539555052854</v>
      </c>
      <c r="E63" s="18" t="n">
        <f aca="false">E62*(1-E61)</f>
        <v>416.844108442495</v>
      </c>
      <c r="F63" s="18" t="n">
        <f aca="false">F62*(1-F61)</f>
        <v>432.724966239056</v>
      </c>
      <c r="G63" s="18" t="n">
        <f aca="false">G62*(1-G61)</f>
        <v>449.203617434516</v>
      </c>
      <c r="H63" s="18" t="n">
        <f aca="false">H62*(1-H61)</f>
        <v>466.302345805296</v>
      </c>
      <c r="I63" s="18" t="n">
        <f aca="false">I62*(1-I61)</f>
        <v>483.301542850936</v>
      </c>
      <c r="J63" s="18" t="n">
        <f aca="false">J62*(1-J61)</f>
        <v>500.142796053367</v>
      </c>
      <c r="K63" s="18" t="n">
        <f aca="false">K62*(1-K61)</f>
        <v>516.766240002438</v>
      </c>
      <c r="L63" s="18" t="n">
        <f aca="false">L62*(1-L61)</f>
        <v>533.110886079757</v>
      </c>
      <c r="M63" s="18" t="n">
        <f aca="false">M62*(1-M61)</f>
        <v>549.114973627553</v>
      </c>
    </row>
    <row r="64" customFormat="false" ht="15" hidden="false" customHeight="true" outlineLevel="0" collapsed="false">
      <c r="B64" s="1" t="s">
        <v>169</v>
      </c>
      <c r="D64" s="16" t="n">
        <f aca="false">IF(D60&lt;=0,0,MIN(1,MAX(0,D59/D60)))</f>
        <v>0.258139267216574</v>
      </c>
      <c r="E64" s="16" t="n">
        <f aca="false">IF(E60&lt;=0,0,MIN(1,MAX(0,E59/E60)))</f>
        <v>0.258139267216574</v>
      </c>
      <c r="F64" s="16" t="n">
        <f aca="false">IF(F60&lt;=0,0,MIN(1,MAX(0,F59/F60)))</f>
        <v>0.258139267216574</v>
      </c>
      <c r="G64" s="16" t="n">
        <f aca="false">IF(G60&lt;=0,0,MIN(1,MAX(0,G59/G60)))</f>
        <v>0.258139267216574</v>
      </c>
      <c r="H64" s="16" t="n">
        <f aca="false">IF(H60&lt;=0,0,MIN(1,MAX(0,H59/H60)))</f>
        <v>0.258139267216574</v>
      </c>
      <c r="I64" s="16" t="n">
        <f aca="false">IF(I60&lt;=0,0,MIN(1,MAX(0,I59/I60)))</f>
        <v>0.267020724388263</v>
      </c>
      <c r="J64" s="16" t="n">
        <f aca="false">IF(J60&lt;=0,0,MIN(1,MAX(0,J59/J60)))</f>
        <v>0.277555260163273</v>
      </c>
      <c r="K64" s="16" t="n">
        <f aca="false">IF(K60&lt;=0,0,MIN(1,MAX(0,K59/K60)))</f>
        <v>0.290251756614553</v>
      </c>
      <c r="L64" s="16" t="n">
        <f aca="false">IF(L60&lt;=0,0,MIN(1,MAX(0,L59/L60)))</f>
        <v>0.305851851213362</v>
      </c>
      <c r="M64" s="16" t="n">
        <f aca="false">IF(M60&lt;=0,0,MIN(1,MAX(0,M59/M60)))</f>
        <v>0.325480191682882</v>
      </c>
    </row>
    <row r="65" customFormat="false" ht="15" hidden="false" customHeight="true" outlineLevel="0" collapsed="false">
      <c r="B65" s="1" t="s">
        <v>170</v>
      </c>
      <c r="D65" s="18" t="n">
        <f aca="false">D63*(1-D64)</f>
        <v>297.886428553041</v>
      </c>
      <c r="E65" s="18" t="n">
        <f aca="false">E63*(1-E64)</f>
        <v>309.240275745603</v>
      </c>
      <c r="F65" s="18" t="n">
        <f aca="false">F63*(1-F64)</f>
        <v>321.02166054779</v>
      </c>
      <c r="G65" s="18" t="n">
        <f aca="false">G63*(1-G64)</f>
        <v>333.246524798936</v>
      </c>
      <c r="H65" s="18" t="n">
        <f aca="false">H63*(1-H64)</f>
        <v>345.931399957748</v>
      </c>
      <c r="I65" s="18" t="n">
        <f aca="false">I63*(1-I64)</f>
        <v>354.250014780914</v>
      </c>
      <c r="J65" s="18" t="n">
        <f aca="false">J63*(1-J64)</f>
        <v>361.325532175988</v>
      </c>
      <c r="K65" s="18" t="n">
        <f aca="false">K63*(1-K64)</f>
        <v>366.773931082632</v>
      </c>
      <c r="L65" s="18" t="n">
        <f aca="false">L63*(1-L64)</f>
        <v>370.057934670267</v>
      </c>
      <c r="M65" s="18" t="n">
        <f aca="false">M63*(1-M64)</f>
        <v>370.388926755317</v>
      </c>
    </row>
    <row r="66" customFormat="false" ht="15" hidden="false" customHeight="true" outlineLevel="0" collapsed="false">
      <c r="B66" s="1" t="s">
        <v>171</v>
      </c>
      <c r="D66" s="21" t="n">
        <f aca="false">1/(1+$D$47)^(1-$D$54)</f>
        <v>0.962303032214365</v>
      </c>
      <c r="E66" s="21" t="n">
        <f aca="false">1/(1+$D$47)^(2-$D$54)</f>
        <v>0.891118711078717</v>
      </c>
      <c r="F66" s="21" t="n">
        <f aca="false">1/(1+$D$47)^(3-$D$54)</f>
        <v>0.82520009877481</v>
      </c>
      <c r="G66" s="21" t="n">
        <f aca="false">1/(1+$D$47)^(4-$D$54)</f>
        <v>0.764157675685708</v>
      </c>
      <c r="H66" s="21" t="n">
        <f aca="false">1/(1+$D$47)^(5-$D$54)</f>
        <v>0.707630736080093</v>
      </c>
      <c r="I66" s="21" t="n">
        <f aca="false">1/(1+$D$47)^(6-$D$54)</f>
        <v>0.655285256666328</v>
      </c>
      <c r="J66" s="21" t="n">
        <f aca="false">1/(1+$D$47)^(7-$D$54)</f>
        <v>0.606811922815707</v>
      </c>
      <c r="K66" s="21" t="n">
        <f aca="false">1/(1+$D$47)^(8-$D$54)</f>
        <v>0.561924300791638</v>
      </c>
      <c r="L66" s="21" t="n">
        <f aca="false">1/(1+$D$47)^(9-$D$54)</f>
        <v>0.520357145184291</v>
      </c>
      <c r="M66" s="21" t="n">
        <f aca="false">1/(1+$D$47)^(10-$D$54)</f>
        <v>0.481864831549165</v>
      </c>
    </row>
    <row r="67" customFormat="false" ht="15" hidden="false" customHeight="true" outlineLevel="0" collapsed="false">
      <c r="B67" s="1" t="s">
        <v>172</v>
      </c>
      <c r="D67" s="18" t="n">
        <f aca="false">D65*D66</f>
        <v>286.657013452099</v>
      </c>
      <c r="E67" s="18" t="n">
        <f aca="false">E65*E66</f>
        <v>275.569795936049</v>
      </c>
      <c r="F67" s="18" t="n">
        <f aca="false">F65*F66</f>
        <v>264.90710599289</v>
      </c>
      <c r="G67" s="18" t="n">
        <f aca="false">G65*G66</f>
        <v>254.652889820695</v>
      </c>
      <c r="H67" s="18" t="n">
        <f aca="false">H65*H66</f>
        <v>244.791691185318</v>
      </c>
      <c r="I67" s="18" t="n">
        <f aca="false">I65*I66</f>
        <v>232.134811859762</v>
      </c>
      <c r="J67" s="18" t="n">
        <f aca="false">J65*J66</f>
        <v>219.25664094212</v>
      </c>
      <c r="K67" s="18" t="n">
        <f aca="false">K65*K66</f>
        <v>206.099184772209</v>
      </c>
      <c r="L67" s="18" t="n">
        <f aca="false">L65*L66</f>
        <v>192.562290437815</v>
      </c>
      <c r="M67" s="18" t="n">
        <f aca="false">M65*M66</f>
        <v>178.477397798627</v>
      </c>
    </row>
    <row r="69" customFormat="false" ht="15" hidden="false" customHeight="true" outlineLevel="0" collapsed="false">
      <c r="B69" s="4" t="s">
        <v>173</v>
      </c>
      <c r="C69" s="4"/>
      <c r="D69" s="4"/>
      <c r="E69" s="4"/>
      <c r="F69" s="4"/>
      <c r="G69" s="4"/>
      <c r="H69" s="4"/>
      <c r="I69" s="4"/>
      <c r="J69" s="4"/>
      <c r="K69" s="4"/>
      <c r="L69" s="4"/>
      <c r="M69" s="4"/>
    </row>
    <row r="70" customFormat="false" ht="15" hidden="false" customHeight="true" outlineLevel="0" collapsed="false">
      <c r="B70" s="1" t="s">
        <v>174</v>
      </c>
      <c r="D70" s="18" t="n">
        <f aca="false">SUM(D67:M67)</f>
        <v>2355.10882219758</v>
      </c>
    </row>
    <row r="71" customFormat="false" ht="15" hidden="false" customHeight="true" outlineLevel="0" collapsed="false">
      <c r="B71" s="1" t="s">
        <v>175</v>
      </c>
      <c r="D71" s="18" t="n">
        <f aca="false">M63*(1+D51)</f>
        <v>563.39196294187</v>
      </c>
    </row>
    <row r="72" customFormat="false" ht="15" hidden="false" customHeight="true" outlineLevel="0" collapsed="false">
      <c r="B72" s="1" t="s">
        <v>176</v>
      </c>
      <c r="D72" s="16" t="n">
        <f aca="false">IF(D52&lt;=0,0,D51/D52)</f>
        <v>0.325480191682882</v>
      </c>
    </row>
    <row r="73" customFormat="false" ht="15" hidden="false" customHeight="true" outlineLevel="0" collapsed="false">
      <c r="B73" s="1" t="s">
        <v>177</v>
      </c>
      <c r="D73" s="18" t="n">
        <f aca="false">D71*(1-D72)</f>
        <v>380.019038850955</v>
      </c>
    </row>
    <row r="74" customFormat="false" ht="15" hidden="false" customHeight="true" outlineLevel="0" collapsed="false">
      <c r="B74" s="1" t="s">
        <v>178</v>
      </c>
      <c r="D74" s="18" t="n">
        <f aca="false">D73/MAX(D47-D51,Inputs!B70)</f>
        <v>7052.8047727275</v>
      </c>
    </row>
    <row r="75" customFormat="false" ht="15" hidden="false" customHeight="true" outlineLevel="0" collapsed="false">
      <c r="B75" s="1" t="s">
        <v>179</v>
      </c>
      <c r="D75" s="18" t="n">
        <f aca="false">D74/(1+D47)^(D55-D54)</f>
        <v>3398.49858375948</v>
      </c>
      <c r="N75" s="7" t="s">
        <v>180</v>
      </c>
    </row>
    <row r="76" customFormat="false" ht="15" hidden="false" customHeight="true" outlineLevel="0" collapsed="false">
      <c r="B76" s="1" t="s">
        <v>181</v>
      </c>
      <c r="D76" s="22" t="n">
        <f aca="false">D70+D75</f>
        <v>5753.60740595707</v>
      </c>
    </row>
    <row r="77" customFormat="false" ht="15" hidden="false" customHeight="true" outlineLevel="0" collapsed="false">
      <c r="B77" s="1" t="s">
        <v>182</v>
      </c>
      <c r="D77" s="18" t="n">
        <f aca="false">-D33</f>
        <v>-1345</v>
      </c>
    </row>
    <row r="78" customFormat="false" ht="15" hidden="false" customHeight="true" outlineLevel="0" collapsed="false">
      <c r="B78" s="1" t="s">
        <v>183</v>
      </c>
      <c r="D78" s="18" t="n">
        <f aca="false">-Inputs!F36</f>
        <v>-0</v>
      </c>
    </row>
    <row r="79" customFormat="false" ht="15" hidden="false" customHeight="true" outlineLevel="0" collapsed="false">
      <c r="B79" s="1" t="s">
        <v>184</v>
      </c>
      <c r="D79" s="18" t="n">
        <f aca="false">-Inputs!F37</f>
        <v>-58</v>
      </c>
    </row>
    <row r="80" customFormat="false" ht="15" hidden="false" customHeight="true" outlineLevel="0" collapsed="false">
      <c r="B80" s="1" t="s">
        <v>185</v>
      </c>
      <c r="D80" s="18" t="n">
        <f aca="false">Inputs!F30+Inputs!F31</f>
        <v>360</v>
      </c>
    </row>
    <row r="81" customFormat="false" ht="15" hidden="false" customHeight="true" outlineLevel="0" collapsed="false">
      <c r="B81" s="1" t="s">
        <v>186</v>
      </c>
      <c r="D81" s="18" t="n">
        <f aca="false">Inputs!F39</f>
        <v>100</v>
      </c>
    </row>
    <row r="82" customFormat="false" ht="15" hidden="false" customHeight="true" outlineLevel="0" collapsed="false">
      <c r="B82" s="1" t="s">
        <v>187</v>
      </c>
      <c r="D82" s="22" t="n">
        <f aca="false">D76+D77+D78+D79+D80+D81</f>
        <v>4810.60740595707</v>
      </c>
    </row>
    <row r="83" customFormat="false" ht="15" hidden="false" customHeight="true" outlineLevel="0" collapsed="false">
      <c r="B83" s="1" t="s">
        <v>188</v>
      </c>
      <c r="D83" s="23" t="n">
        <f aca="false">IFERROR(D82/Inputs!B15,0)</f>
        <v>11.4538271570406</v>
      </c>
    </row>
    <row r="84" customFormat="false" ht="15" hidden="false" customHeight="true" outlineLevel="0" collapsed="false">
      <c r="B84" s="1" t="s">
        <v>16</v>
      </c>
      <c r="D84" s="24" t="n">
        <f aca="false">Inputs!B14</f>
        <v>24.5</v>
      </c>
    </row>
    <row r="85" customFormat="false" ht="15" hidden="false" customHeight="true" outlineLevel="0" collapsed="false">
      <c r="B85" s="1" t="s">
        <v>189</v>
      </c>
      <c r="D85" s="19" t="n">
        <f aca="false">IFERROR(D83/D84-1,0)</f>
        <v>-0.532496850733035</v>
      </c>
    </row>
    <row r="86" customFormat="false" ht="15" hidden="false" customHeight="true" outlineLevel="0" collapsed="false">
      <c r="B86" s="1" t="s">
        <v>190</v>
      </c>
      <c r="D86" s="25" t="str">
        <f aca="false">IF(SUMPRODUCT(--(LEFT(D96:D122,4)="FAIL"))&gt;0,"VOID - failed validation",IF(D85&gt;0.25,"UNDERVALUED - investigate",IF(D85&lt;-0.25,"OVERVALUED - screen out","FAIRLY VALUED - no action")))</f>
        <v>OVERVALUED - screen out</v>
      </c>
    </row>
    <row r="88" customFormat="false" ht="15" hidden="false" customHeight="true" outlineLevel="0" collapsed="false">
      <c r="B88" s="4" t="s">
        <v>191</v>
      </c>
      <c r="C88" s="4"/>
      <c r="D88" s="4"/>
      <c r="E88" s="4"/>
      <c r="F88" s="4"/>
      <c r="G88" s="4"/>
      <c r="H88" s="4"/>
      <c r="I88" s="4"/>
      <c r="J88" s="4"/>
      <c r="K88" s="4"/>
      <c r="L88" s="4"/>
      <c r="M88" s="4"/>
    </row>
    <row r="89" customFormat="false" ht="15" hidden="false" customHeight="true" outlineLevel="0" collapsed="false">
      <c r="B89" s="1" t="s">
        <v>192</v>
      </c>
      <c r="D89" s="16" t="n">
        <f aca="false">IFERROR(D75/D76,0)</f>
        <v>0.590672658728993</v>
      </c>
    </row>
    <row r="90" customFormat="false" ht="15" hidden="false" customHeight="true" outlineLevel="0" collapsed="false">
      <c r="B90" s="1" t="s">
        <v>193</v>
      </c>
      <c r="D90" s="15" t="n">
        <f aca="false">IFERROR(D7/Inputs!B59,0)</f>
        <v>1.11589879571318</v>
      </c>
    </row>
    <row r="91" customFormat="false" ht="15" hidden="false" customHeight="true" outlineLevel="0" collapsed="false">
      <c r="B91" s="1" t="s">
        <v>194</v>
      </c>
      <c r="D91" s="15" t="n">
        <f aca="false">IFERROR(D20/Inputs!B60,0)</f>
        <v>1.38368048543088</v>
      </c>
    </row>
    <row r="92" customFormat="false" ht="15" hidden="false" customHeight="true" outlineLevel="0" collapsed="false">
      <c r="B92" s="1" t="s">
        <v>195</v>
      </c>
      <c r="D92" s="16" t="n">
        <f aca="false">IFERROR(Inputs!F39/Inputs!F40,0)</f>
        <v>0.0194174757281553</v>
      </c>
    </row>
    <row r="93" customFormat="false" ht="15" hidden="false" customHeight="true" outlineLevel="0" collapsed="false">
      <c r="B93" s="1" t="s">
        <v>196</v>
      </c>
      <c r="D93" s="15" t="n">
        <f aca="false">IFERROR(D76/D8,0)</f>
        <v>10.8639480941361</v>
      </c>
    </row>
    <row r="95" customFormat="false" ht="15" hidden="false" customHeight="true" outlineLevel="0" collapsed="false">
      <c r="B95" s="4" t="s">
        <v>197</v>
      </c>
      <c r="C95" s="4"/>
      <c r="D95" s="4"/>
      <c r="E95" s="4"/>
      <c r="F95" s="4"/>
      <c r="G95" s="4"/>
      <c r="H95" s="4"/>
      <c r="I95" s="4"/>
      <c r="J95" s="4"/>
      <c r="K95" s="4"/>
      <c r="L95" s="4"/>
      <c r="M95" s="4"/>
    </row>
    <row r="96" customFormat="false" ht="15" hidden="false" customHeight="true" outlineLevel="0" collapsed="false">
      <c r="B96" s="1" t="s">
        <v>198</v>
      </c>
      <c r="D96" s="26" t="str">
        <f aca="false">IF(D12&gt;0,"OK","FAIL - normalised NOPAT is negative; FCFF valuation not meaningful")</f>
        <v>OK</v>
      </c>
      <c r="E96" s="26"/>
      <c r="F96" s="26"/>
      <c r="G96" s="26"/>
      <c r="H96" s="26"/>
      <c r="I96" s="26"/>
      <c r="J96" s="26"/>
      <c r="K96" s="26"/>
      <c r="L96" s="26"/>
      <c r="M96" s="26"/>
    </row>
    <row r="97" customFormat="false" ht="15" hidden="false" customHeight="true" outlineLevel="0" collapsed="false">
      <c r="B97" s="1" t="s">
        <v>199</v>
      </c>
      <c r="D97" s="26" t="str">
        <f aca="false">IF(D18&gt;0,"OK","FAIL - average invested capital is zero or negative; ROIC undefined")</f>
        <v>OK</v>
      </c>
      <c r="E97" s="26"/>
      <c r="F97" s="26"/>
      <c r="G97" s="26"/>
      <c r="H97" s="26"/>
      <c r="I97" s="26"/>
      <c r="J97" s="26"/>
      <c r="K97" s="26"/>
      <c r="L97" s="26"/>
      <c r="M97" s="26"/>
    </row>
    <row r="98" customFormat="false" ht="15" hidden="false" customHeight="true" outlineLevel="0" collapsed="false">
      <c r="B98" s="1" t="s">
        <v>200</v>
      </c>
      <c r="D98" s="26" t="str">
        <f aca="false">IF(D47-D51&gt;=Inputs!B70,"OK","FAIL - WACC does not exceed terminal growth; terminal value meaningless")</f>
        <v>OK</v>
      </c>
      <c r="E98" s="26"/>
      <c r="F98" s="26"/>
      <c r="G98" s="26"/>
      <c r="H98" s="26"/>
      <c r="I98" s="26"/>
      <c r="J98" s="26"/>
      <c r="K98" s="26"/>
      <c r="L98" s="26"/>
      <c r="M98" s="26"/>
    </row>
    <row r="99" customFormat="false" ht="15" hidden="false" customHeight="true" outlineLevel="0" collapsed="false">
      <c r="B99" s="1" t="s">
        <v>201</v>
      </c>
      <c r="D99" s="26" t="str">
        <f aca="false">IF(Inputs!B63+Inputs!B64=10,"OK","FAIL - stage 1 and stage 2 must sum to 10 years")</f>
        <v>OK</v>
      </c>
      <c r="E99" s="26"/>
      <c r="F99" s="26"/>
      <c r="G99" s="26"/>
      <c r="H99" s="26"/>
      <c r="I99" s="26"/>
      <c r="J99" s="26"/>
      <c r="K99" s="26"/>
      <c r="L99" s="26"/>
      <c r="M99" s="26"/>
    </row>
    <row r="100" customFormat="false" ht="15" hidden="false" customHeight="true" outlineLevel="0" collapsed="false">
      <c r="B100" s="1" t="s">
        <v>202</v>
      </c>
      <c r="D100" s="26" t="str">
        <f aca="false">IF(D83&gt;0,"OK","FAIL - equity value is negative")</f>
        <v>OK</v>
      </c>
      <c r="E100" s="26"/>
      <c r="F100" s="26"/>
      <c r="G100" s="26"/>
      <c r="H100" s="26"/>
      <c r="I100" s="26"/>
      <c r="J100" s="26"/>
      <c r="K100" s="26"/>
      <c r="L100" s="26"/>
      <c r="M100" s="26"/>
    </row>
    <row r="101" customFormat="false" ht="15" hidden="false" customHeight="true" outlineLevel="0" collapsed="false">
      <c r="B101" s="1" t="s">
        <v>203</v>
      </c>
      <c r="D101" s="26" t="str">
        <f aca="false">IF(D89&lt;=0.85,"OK","WARNING - terminal value exceeds 85% of enterprise value")</f>
        <v>OK</v>
      </c>
      <c r="E101" s="26"/>
      <c r="F101" s="26"/>
      <c r="G101" s="26"/>
      <c r="H101" s="26"/>
      <c r="I101" s="26"/>
      <c r="J101" s="26"/>
      <c r="K101" s="26"/>
      <c r="L101" s="26"/>
      <c r="M101" s="26"/>
    </row>
    <row r="102" customFormat="false" ht="15" hidden="false" customHeight="true" outlineLevel="0" collapsed="false">
      <c r="B102" s="1" t="s">
        <v>204</v>
      </c>
      <c r="D102" s="26" t="str">
        <f aca="false">IF(D38&gt;=1.5,"OK","WARNING - interest coverage below 1.5x; distress risk")</f>
        <v>OK</v>
      </c>
      <c r="E102" s="26"/>
      <c r="F102" s="26"/>
      <c r="G102" s="26"/>
      <c r="H102" s="26"/>
      <c r="I102" s="26"/>
      <c r="J102" s="26"/>
      <c r="K102" s="26"/>
      <c r="L102" s="26"/>
      <c r="M102" s="26"/>
    </row>
    <row r="103" customFormat="false" ht="15" hidden="false" customHeight="true" outlineLevel="0" collapsed="false">
      <c r="B103" s="1" t="s">
        <v>205</v>
      </c>
      <c r="D103" s="26" t="str">
        <f aca="false">IF(D42&lt;=D41,"OK","WARNING - actual interest cost exceeds the synthetic spread; possible credit deterioration")</f>
        <v>OK</v>
      </c>
      <c r="E103" s="26"/>
      <c r="F103" s="26"/>
      <c r="G103" s="26"/>
      <c r="H103" s="26"/>
      <c r="I103" s="26"/>
      <c r="J103" s="26"/>
      <c r="K103" s="26"/>
      <c r="L103" s="26"/>
      <c r="M103" s="26"/>
    </row>
    <row r="104" customFormat="false" ht="15" hidden="false" customHeight="true" outlineLevel="0" collapsed="false">
      <c r="B104" s="1" t="s">
        <v>206</v>
      </c>
      <c r="D104" s="26" t="str">
        <f aca="false">IF(D30&lt;=0.5,"OK","WARNING - cash-flow and sales-to-capital reinvestment estimates diverge by more than 50%")</f>
        <v>OK</v>
      </c>
      <c r="E104" s="26"/>
      <c r="F104" s="26"/>
      <c r="G104" s="26"/>
      <c r="H104" s="26"/>
      <c r="I104" s="26"/>
      <c r="J104" s="26"/>
      <c r="K104" s="26"/>
      <c r="L104" s="26"/>
      <c r="M104" s="26"/>
    </row>
    <row r="105" customFormat="false" ht="15" hidden="false" customHeight="true" outlineLevel="0" collapsed="false">
      <c r="B105" s="1" t="s">
        <v>207</v>
      </c>
      <c r="D105" s="26" t="str">
        <f aca="false">IF(AND(D90&gt;=0.4,D90&lt;=2.5),"OK","WARNING - normalised margin is far from the industry median; check the data")</f>
        <v>OK</v>
      </c>
      <c r="E105" s="26"/>
      <c r="F105" s="26"/>
      <c r="G105" s="26"/>
      <c r="H105" s="26"/>
      <c r="I105" s="26"/>
      <c r="J105" s="26"/>
      <c r="K105" s="26"/>
      <c r="L105" s="26"/>
      <c r="M105" s="26"/>
    </row>
    <row r="106" customFormat="false" ht="15" hidden="false" customHeight="true" outlineLevel="0" collapsed="false">
      <c r="B106" s="1" t="s">
        <v>208</v>
      </c>
      <c r="D106" s="26" t="str">
        <f aca="false">IF(AND(D91&gt;=0.3,D91&lt;=3),"OK","NOTE - normalised ROIC is far from the industry median")</f>
        <v>OK</v>
      </c>
      <c r="E106" s="26"/>
      <c r="F106" s="26"/>
      <c r="G106" s="26"/>
      <c r="H106" s="26"/>
      <c r="I106" s="26"/>
      <c r="J106" s="26"/>
      <c r="K106" s="26"/>
      <c r="L106" s="26"/>
      <c r="M106" s="26"/>
    </row>
    <row r="107" customFormat="false" ht="15" hidden="false" customHeight="true" outlineLevel="0" collapsed="false">
      <c r="B107" s="1" t="s">
        <v>209</v>
      </c>
      <c r="D107" s="26" t="str">
        <f aca="false">IF(AND(D19&lt;Inputs!B66,D19&gt;Inputs!B67),"OK","NOTE - normalised ROIC was capped or floored")</f>
        <v>OK</v>
      </c>
      <c r="E107" s="26"/>
      <c r="F107" s="26"/>
      <c r="G107" s="26"/>
      <c r="H107" s="26"/>
      <c r="I107" s="26"/>
      <c r="J107" s="26"/>
      <c r="K107" s="26"/>
      <c r="L107" s="26"/>
      <c r="M107" s="26"/>
    </row>
    <row r="108" customFormat="false" ht="15" hidden="false" customHeight="true" outlineLevel="0" collapsed="false">
      <c r="B108" s="1" t="s">
        <v>210</v>
      </c>
      <c r="D108" s="26" t="str">
        <f aca="false">IF(D29*D20&lt;Inputs!B65,"OK","NOTE - fundamental growth was capped")</f>
        <v>OK</v>
      </c>
      <c r="E108" s="26"/>
      <c r="F108" s="26"/>
      <c r="G108" s="26"/>
      <c r="H108" s="26"/>
      <c r="I108" s="26"/>
      <c r="J108" s="26"/>
      <c r="K108" s="26"/>
      <c r="L108" s="26"/>
      <c r="M108" s="26"/>
    </row>
    <row r="109" customFormat="false" ht="15" hidden="false" customHeight="true" outlineLevel="0" collapsed="false">
      <c r="B109" s="1" t="s">
        <v>211</v>
      </c>
      <c r="D109" s="26" t="str">
        <f aca="false">IF(AND(D10&gt;=0.05,D10&lt;=0.45),"OK","NOTE - median effective tax rate implausible; statutory rate substituted")</f>
        <v>OK</v>
      </c>
      <c r="E109" s="26"/>
      <c r="F109" s="26"/>
      <c r="G109" s="26"/>
      <c r="H109" s="26"/>
      <c r="I109" s="26"/>
      <c r="J109" s="26"/>
      <c r="K109" s="26"/>
      <c r="L109" s="26"/>
      <c r="M109" s="26"/>
    </row>
    <row r="110" customFormat="false" ht="15" hidden="false" customHeight="true" outlineLevel="0" collapsed="false">
      <c r="B110" s="1" t="s">
        <v>212</v>
      </c>
      <c r="D110" s="26" t="str">
        <f aca="false">IF(D92&lt;=0.25,"OK","WARNING - equity-method investments exceed 25% of assets; book value understates them")</f>
        <v>OK</v>
      </c>
      <c r="E110" s="26"/>
      <c r="F110" s="26"/>
      <c r="G110" s="26"/>
      <c r="H110" s="26"/>
      <c r="I110" s="26"/>
      <c r="J110" s="26"/>
      <c r="K110" s="26"/>
      <c r="L110" s="26"/>
      <c r="M110" s="26"/>
    </row>
    <row r="111" customFormat="false" ht="15" hidden="false" customHeight="true" outlineLevel="0" collapsed="false">
      <c r="B111" s="1" t="s">
        <v>213</v>
      </c>
      <c r="D111" s="26" t="str">
        <f aca="false">IF(COUNT(Inputs!B20:F26,Inputs!B30:F40,Inputs!B44:F45)=100,"OK","FAIL - one or more statement inputs are missing or non-numeric; blanks are read as zero")</f>
        <v>OK</v>
      </c>
      <c r="E111" s="26"/>
      <c r="F111" s="26"/>
      <c r="G111" s="26"/>
      <c r="H111" s="26"/>
      <c r="I111" s="26"/>
      <c r="J111" s="26"/>
      <c r="K111" s="26"/>
      <c r="L111" s="26"/>
      <c r="M111" s="26"/>
      <c r="N111" s="1" t="s">
        <v>214</v>
      </c>
    </row>
    <row r="112" customFormat="false" ht="15" hidden="false" customHeight="true" outlineLevel="0" collapsed="false">
      <c r="B112" s="1" t="s">
        <v>215</v>
      </c>
      <c r="D112" s="26" t="str">
        <f aca="false">IF(AND(Inputs!B14&gt;0,Inputs!B15&gt;0),"OK","FAIL - share price or diluted share count is missing or non-positive")</f>
        <v>OK</v>
      </c>
      <c r="E112" s="26"/>
      <c r="F112" s="26"/>
      <c r="G112" s="26"/>
      <c r="H112" s="26"/>
      <c r="I112" s="26"/>
      <c r="J112" s="26"/>
      <c r="K112" s="26"/>
      <c r="L112" s="26"/>
      <c r="M112" s="26"/>
    </row>
    <row r="113" customFormat="false" ht="15" hidden="false" customHeight="true" outlineLevel="0" collapsed="false">
      <c r="B113" s="1" t="s">
        <v>216</v>
      </c>
      <c r="D113" s="26" t="str">
        <f aca="false">IF(COUNT(Inputs!B48:B50,Inputs!B53:B54,Inputs!B57:B60,Inputs!B63:B70)=17,"OK","FAIL - one or more market, country, industry or convention parameters are missing")</f>
        <v>OK</v>
      </c>
      <c r="E113" s="26"/>
      <c r="F113" s="26"/>
      <c r="G113" s="26"/>
      <c r="H113" s="26"/>
      <c r="I113" s="26"/>
      <c r="J113" s="26"/>
      <c r="K113" s="26"/>
      <c r="L113" s="26"/>
      <c r="M113" s="26"/>
    </row>
    <row r="114" customFormat="false" ht="15" hidden="false" customHeight="true" outlineLevel="0" collapsed="false">
      <c r="B114" s="1" t="s">
        <v>217</v>
      </c>
      <c r="D114" s="26" t="str">
        <f aca="false">IF(AND(IFERROR(Inputs!B16/Inputs!F20,0)&gt;=0.05,IFERROR(Inputs!B16/Inputs!F20,0)&lt;=30),"OK","FAIL - market capitalisation is implausible against revenue; check units, currency and share count")</f>
        <v>OK</v>
      </c>
      <c r="E114" s="26"/>
      <c r="F114" s="26"/>
      <c r="G114" s="26"/>
      <c r="H114" s="26"/>
      <c r="I114" s="26"/>
      <c r="J114" s="26"/>
      <c r="K114" s="26"/>
      <c r="L114" s="26"/>
      <c r="M114" s="26"/>
    </row>
    <row r="115" customFormat="false" ht="15" hidden="false" customHeight="true" outlineLevel="0" collapsed="false">
      <c r="B115" s="1" t="s">
        <v>218</v>
      </c>
      <c r="D115" s="26" t="str">
        <f aca="false">IF(SUMPRODUCT(--(RefData!A5:A18&lt;=RefData!A4:A17))=0,"OK","FAIL - RefData coverage thresholds are not ascending; the credit-rating lookup is unreliable")</f>
        <v>OK</v>
      </c>
      <c r="E115" s="26"/>
      <c r="F115" s="26"/>
      <c r="G115" s="26"/>
      <c r="H115" s="26"/>
      <c r="I115" s="26"/>
      <c r="J115" s="26"/>
      <c r="K115" s="26"/>
      <c r="L115" s="26"/>
      <c r="M115" s="26"/>
    </row>
    <row r="116" customFormat="false" ht="15" hidden="false" customHeight="true" outlineLevel="0" collapsed="false">
      <c r="B116" s="1" t="s">
        <v>219</v>
      </c>
      <c r="D116" s="26" t="str">
        <f aca="false">IF(IFERROR(Inputs!F20/MEDIAN(Inputs!B20:F20),1)&lt;=1.25,"OK","WARNING - FY0 revenue exceeds the five-year median by over 25%; normalised EBIT may be struck on peak revenue")</f>
        <v>OK</v>
      </c>
      <c r="E116" s="26"/>
      <c r="F116" s="26"/>
      <c r="G116" s="26"/>
      <c r="H116" s="26"/>
      <c r="I116" s="26"/>
      <c r="J116" s="26"/>
      <c r="K116" s="26"/>
      <c r="L116" s="26"/>
      <c r="M116" s="26"/>
    </row>
    <row r="117" customFormat="false" ht="15" hidden="false" customHeight="true" outlineLevel="0" collapsed="false">
      <c r="B117" s="1" t="s">
        <v>220</v>
      </c>
      <c r="D117" s="26" t="str">
        <f aca="false">IF(IFERROR(Inputs!F23/D37,1)&lt;=1.5,"OK","WARNING - FY0 interest is over 1.5x the five-year median; coverage and the implied rating may be overstated")</f>
        <v>OK</v>
      </c>
      <c r="E117" s="26"/>
      <c r="F117" s="26"/>
      <c r="G117" s="26"/>
      <c r="H117" s="26"/>
      <c r="I117" s="26"/>
      <c r="J117" s="26"/>
      <c r="K117" s="26"/>
      <c r="L117" s="26"/>
      <c r="M117" s="26"/>
    </row>
    <row r="118" customFormat="false" ht="15" hidden="false" customHeight="true" outlineLevel="0" collapsed="false">
      <c r="B118" s="1" t="s">
        <v>221</v>
      </c>
      <c r="D118" s="26" t="str">
        <f aca="false">IF(ABS(Sensitivity!D7-D83)&lt;=0.001*MAX(ABS(D83),0.01),"OK","WARNING - the sensitivity grid disagrees with the base case; the workbook has been edited inconsistently")</f>
        <v>OK</v>
      </c>
      <c r="E118" s="26"/>
      <c r="F118" s="26"/>
      <c r="G118" s="26"/>
      <c r="H118" s="26"/>
      <c r="I118" s="26"/>
      <c r="J118" s="26"/>
      <c r="K118" s="26"/>
      <c r="L118" s="26"/>
      <c r="M118" s="26"/>
    </row>
    <row r="119" customFormat="false" ht="15" hidden="false" customHeight="true" outlineLevel="0" collapsed="false">
      <c r="B119" s="1" t="s">
        <v>222</v>
      </c>
      <c r="D119" s="26" t="str">
        <f aca="false">IF(D20&gt;=D47,"OK","NOTE - normalised ROIC is below WACC; the lower-reinvestment rule raises value rather than lowering it")</f>
        <v>OK</v>
      </c>
      <c r="E119" s="26"/>
      <c r="F119" s="26"/>
      <c r="G119" s="26"/>
      <c r="H119" s="26"/>
      <c r="I119" s="26"/>
      <c r="J119" s="26"/>
      <c r="K119" s="26"/>
      <c r="L119" s="26"/>
      <c r="M119" s="26"/>
    </row>
    <row r="120" customFormat="false" ht="15" hidden="false" customHeight="false" outlineLevel="0" collapsed="false">
      <c r="B120" s="1" t="s">
        <v>223</v>
      </c>
      <c r="D120" s="26" t="str">
        <f aca="false">IF(RefData!B22=IF(Inputs!B16&gt;=RefData!B24,"LARGE","SMALL"),"OK","FAIL - the loaded credit table does not match the size band; the pipeline wrote the wrong table")</f>
        <v>OK</v>
      </c>
      <c r="E120" s="26"/>
      <c r="F120" s="26"/>
      <c r="G120" s="26"/>
      <c r="H120" s="26"/>
      <c r="I120" s="26"/>
      <c r="J120" s="26"/>
      <c r="K120" s="26"/>
      <c r="L120" s="26"/>
      <c r="M120" s="26"/>
      <c r="N120" s="1" t="s">
        <v>224</v>
      </c>
    </row>
    <row r="121" customFormat="false" ht="15" hidden="false" customHeight="false" outlineLevel="0" collapsed="false">
      <c r="B121" s="1" t="s">
        <v>225</v>
      </c>
      <c r="D121" s="26" t="str">
        <f aca="false">IF(IFERROR(ABS(Inputs!B16/RefData!B24-1),1)&gt;0.2,"OK","WARNING - market cap is within 20% of the size cut-off; the spread ladder is discontinuous across it")</f>
        <v>OK</v>
      </c>
      <c r="E121" s="26"/>
      <c r="F121" s="26"/>
      <c r="G121" s="26"/>
      <c r="H121" s="26"/>
      <c r="I121" s="26"/>
      <c r="J121" s="26"/>
      <c r="K121" s="26"/>
      <c r="L121" s="26"/>
      <c r="M121" s="26"/>
    </row>
    <row r="122" customFormat="false" ht="15" hidden="false" customHeight="false" outlineLevel="0" collapsed="false">
      <c r="B122" s="1" t="s">
        <v>226</v>
      </c>
      <c r="D122" s="26" t="str">
        <f aca="false">IF(IFERROR((VALUE(LEFT(Inputs!B11,4))*12+VALUE(MID(Inputs!B11,6,2)))-(VALUE(LEFT(RefData!B23,4))*12+VALUE(MID(RefData!B23,6,2))),999)&lt;=14,"OK","WARNING - the credit table is more than 14 months old; Damodaran republishes each January")</f>
        <v>OK</v>
      </c>
      <c r="E122" s="26"/>
      <c r="F122" s="26"/>
      <c r="G122" s="26"/>
      <c r="H122" s="26"/>
      <c r="I122" s="26"/>
      <c r="J122" s="26"/>
      <c r="K122" s="26"/>
      <c r="L122" s="26"/>
      <c r="M122" s="26"/>
    </row>
  </sheetData>
  <mergeCells count="37">
    <mergeCell ref="B1:M1"/>
    <mergeCell ref="B3:M3"/>
    <mergeCell ref="B14:M14"/>
    <mergeCell ref="B22:M22"/>
    <mergeCell ref="B32:M32"/>
    <mergeCell ref="B49:M49"/>
    <mergeCell ref="B57:M57"/>
    <mergeCell ref="B69:M69"/>
    <mergeCell ref="B88:M88"/>
    <mergeCell ref="B95:M95"/>
    <mergeCell ref="D96:M96"/>
    <mergeCell ref="D97:M97"/>
    <mergeCell ref="D98:M98"/>
    <mergeCell ref="D99:M99"/>
    <mergeCell ref="D100:M100"/>
    <mergeCell ref="D101:M101"/>
    <mergeCell ref="D102:M102"/>
    <mergeCell ref="D103:M103"/>
    <mergeCell ref="D104:M104"/>
    <mergeCell ref="D105:M105"/>
    <mergeCell ref="D106:M106"/>
    <mergeCell ref="D107:M107"/>
    <mergeCell ref="D108:M108"/>
    <mergeCell ref="D109:M109"/>
    <mergeCell ref="D110:M110"/>
    <mergeCell ref="D111:M111"/>
    <mergeCell ref="D112:M112"/>
    <mergeCell ref="D113:M113"/>
    <mergeCell ref="D114:M114"/>
    <mergeCell ref="D115:M115"/>
    <mergeCell ref="D116:M116"/>
    <mergeCell ref="D117:M117"/>
    <mergeCell ref="D118:M118"/>
    <mergeCell ref="D119:M119"/>
    <mergeCell ref="D120:M120"/>
    <mergeCell ref="D121:M121"/>
    <mergeCell ref="D122:M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7" min="3" style="1" width="15"/>
  </cols>
  <sheetData>
    <row r="1" customFormat="false" ht="21.75" hidden="false" customHeight="true" outlineLevel="0" collapsed="false">
      <c r="B1" s="2" t="s">
        <v>227</v>
      </c>
      <c r="C1" s="2"/>
      <c r="D1" s="2"/>
      <c r="E1" s="2"/>
      <c r="F1" s="2"/>
      <c r="G1" s="2"/>
    </row>
    <row r="2" customFormat="false" ht="15" hidden="false" customHeight="true" outlineLevel="0" collapsed="false">
      <c r="B2" s="3" t="s">
        <v>228</v>
      </c>
      <c r="C2" s="3"/>
      <c r="D2" s="3"/>
      <c r="E2" s="3"/>
      <c r="F2" s="3"/>
      <c r="G2" s="3"/>
    </row>
    <row r="4" customFormat="false" ht="15" hidden="false" customHeight="true" outlineLevel="0" collapsed="false">
      <c r="B4" s="14" t="s">
        <v>229</v>
      </c>
      <c r="C4" s="27" t="n">
        <f aca="false">Valuation!$D$51+-0.005</f>
        <v>0.021</v>
      </c>
      <c r="D4" s="27" t="n">
        <f aca="false">Valuation!$D$51+0</f>
        <v>0.026</v>
      </c>
      <c r="E4" s="27" t="n">
        <f aca="false">Valuation!$D$51+0.005</f>
        <v>0.031</v>
      </c>
    </row>
    <row r="5" customFormat="false" ht="15" hidden="false" customHeight="true" outlineLevel="0" collapsed="false">
      <c r="B5" s="27" t="n">
        <f aca="false">Valuation!$D$47+-0.01</f>
        <v>0.0698819733562527</v>
      </c>
      <c r="C5" s="24" t="n">
        <f aca="false">IFERROR((SUMPRODUCT(Valuation!$D$65:$M$65/(1+$B5)^(Valuation!$D$58:$M$58-Valuation!$D$54))+(Valuation!$M$63*(1+C$4)*(1-C$4/MAX($B5,C$4+Inputs!$B$70))/MAX($B5-C$4,Inputs!$B$70))/(1+$B5)^(Valuation!$D$55-Valuation!$D$54)+(Valuation!$D$82-Valuation!$D$76))/Inputs!$B$15,0)</f>
        <v>13.6634535592839</v>
      </c>
      <c r="D5" s="24" t="n">
        <f aca="false">IFERROR((SUMPRODUCT(Valuation!$D$65:$M$65/(1+$B5)^(Valuation!$D$58:$M$58-Valuation!$D$54))+(Valuation!$M$63*(1+D$4)*(1-D$4/MAX($B5,D$4+Inputs!$B$70))/MAX($B5-D$4,Inputs!$B$70))/(1+$B5)^(Valuation!$D$55-Valuation!$D$54)+(Valuation!$D$82-Valuation!$D$76))/Inputs!$B$15,0)</f>
        <v>13.7126946965175</v>
      </c>
      <c r="E5" s="24" t="n">
        <f aca="false">IFERROR((SUMPRODUCT(Valuation!$D$65:$M$65/(1+$B5)^(Valuation!$D$58:$M$58-Valuation!$D$54))+(Valuation!$M$63*(1+E$4)*(1-E$4/MAX($B5,E$4+Inputs!$B$70))/MAX($B5-E$4,Inputs!$B$70))/(1+$B5)^(Valuation!$D$55-Valuation!$D$54)+(Valuation!$D$82-Valuation!$D$76))/Inputs!$B$15,0)</f>
        <v>13.7619358337511</v>
      </c>
    </row>
    <row r="6" customFormat="false" ht="15" hidden="false" customHeight="true" outlineLevel="0" collapsed="false">
      <c r="B6" s="27" t="n">
        <f aca="false">Valuation!$D$47+-0.005</f>
        <v>0.0748819733562527</v>
      </c>
      <c r="C6" s="24" t="n">
        <f aca="false">IFERROR((SUMPRODUCT(Valuation!$D$65:$M$65/(1+$B6)^(Valuation!$D$58:$M$58-Valuation!$D$54))+(Valuation!$M$63*(1+C$4)*(1-C$4/MAX($B6,C$4+Inputs!$B$70))/MAX($B6-C$4,Inputs!$B$70))/(1+$B6)^(Valuation!$D$55-Valuation!$D$54)+(Valuation!$D$82-Valuation!$D$76))/Inputs!$B$15,0)</f>
        <v>12.460260762995</v>
      </c>
      <c r="D6" s="24" t="n">
        <f aca="false">IFERROR((SUMPRODUCT(Valuation!$D$65:$M$65/(1+$B6)^(Valuation!$D$58:$M$58-Valuation!$D$54))+(Valuation!$M$63*(1+D$4)*(1-D$4/MAX($B6,D$4+Inputs!$B$70))/MAX($B6-D$4,Inputs!$B$70))/(1+$B6)^(Valuation!$D$55-Valuation!$D$54)+(Valuation!$D$82-Valuation!$D$76))/Inputs!$B$15,0)</f>
        <v>12.5042229525618</v>
      </c>
      <c r="E6" s="24" t="n">
        <f aca="false">IFERROR((SUMPRODUCT(Valuation!$D$65:$M$65/(1+$B6)^(Valuation!$D$58:$M$58-Valuation!$D$54))+(Valuation!$M$63*(1+E$4)*(1-E$4/MAX($B6,E$4+Inputs!$B$70))/MAX($B6-E$4,Inputs!$B$70))/(1+$B6)^(Valuation!$D$55-Valuation!$D$54)+(Valuation!$D$82-Valuation!$D$76))/Inputs!$B$15,0)</f>
        <v>12.5481851421286</v>
      </c>
    </row>
    <row r="7" customFormat="false" ht="15" hidden="false" customHeight="true" outlineLevel="0" collapsed="false">
      <c r="B7" s="27" t="n">
        <f aca="false">Valuation!$D$47+0</f>
        <v>0.0798819733562527</v>
      </c>
      <c r="C7" s="24" t="n">
        <f aca="false">IFERROR((SUMPRODUCT(Valuation!$D$65:$M$65/(1+$B7)^(Valuation!$D$58:$M$58-Valuation!$D$54))+(Valuation!$M$63*(1+C$4)*(1-C$4/MAX($B7,C$4+Inputs!$B$70))/MAX($B7-C$4,Inputs!$B$70))/(1+$B7)^(Valuation!$D$55-Valuation!$D$54)+(Valuation!$D$82-Valuation!$D$76))/Inputs!$B$15,0)</f>
        <v>11.4143941000491</v>
      </c>
      <c r="D7" s="24" t="n">
        <f aca="false">IFERROR((SUMPRODUCT(Valuation!$D$65:$M$65/(1+$B7)^(Valuation!$D$58:$M$58-Valuation!$D$54))+(Valuation!$M$63*(1+D$4)*(1-D$4/MAX($B7,D$4+Inputs!$B$70))/MAX($B7-D$4,Inputs!$B$70))/(1+$B7)^(Valuation!$D$55-Valuation!$D$54)+(Valuation!$D$82-Valuation!$D$76))/Inputs!$B$15,0)</f>
        <v>11.4538271570406</v>
      </c>
      <c r="E7" s="24" t="n">
        <f aca="false">IFERROR((SUMPRODUCT(Valuation!$D$65:$M$65/(1+$B7)^(Valuation!$D$58:$M$58-Valuation!$D$54))+(Valuation!$M$63*(1+E$4)*(1-E$4/MAX($B7,E$4+Inputs!$B$70))/MAX($B7-E$4,Inputs!$B$70))/(1+$B7)^(Valuation!$D$55-Valuation!$D$54)+(Valuation!$D$82-Valuation!$D$76))/Inputs!$B$15,0)</f>
        <v>11.4932602140322</v>
      </c>
    </row>
    <row r="8" customFormat="false" ht="15" hidden="false" customHeight="true" outlineLevel="0" collapsed="false">
      <c r="B8" s="27" t="n">
        <f aca="false">Valuation!$D$47+0.005</f>
        <v>0.0848819733562527</v>
      </c>
      <c r="C8" s="24" t="n">
        <f aca="false">IFERROR((SUMPRODUCT(Valuation!$D$65:$M$65/(1+$B8)^(Valuation!$D$58:$M$58-Valuation!$D$54))+(Valuation!$M$63*(1+C$4)*(1-C$4/MAX($B8,C$4+Inputs!$B$70))/MAX($B8-C$4,Inputs!$B$70))/(1+$B8)^(Valuation!$D$55-Valuation!$D$54)+(Valuation!$D$82-Valuation!$D$76))/Inputs!$B$15,0)</f>
        <v>10.4977326346344</v>
      </c>
      <c r="D8" s="24" t="n">
        <f aca="false">IFERROR((SUMPRODUCT(Valuation!$D$65:$M$65/(1+$B8)^(Valuation!$D$58:$M$58-Valuation!$D$54))+(Valuation!$M$63*(1+D$4)*(1-D$4/MAX($B8,D$4+Inputs!$B$70))/MAX($B8-D$4,Inputs!$B$70))/(1+$B8)^(Valuation!$D$55-Valuation!$D$54)+(Valuation!$D$82-Valuation!$D$76))/Inputs!$B$15,0)</f>
        <v>10.5332495180797</v>
      </c>
      <c r="E8" s="24" t="n">
        <f aca="false">IFERROR((SUMPRODUCT(Valuation!$D$65:$M$65/(1+$B8)^(Valuation!$D$58:$M$58-Valuation!$D$54))+(Valuation!$M$63*(1+E$4)*(1-E$4/MAX($B8,E$4+Inputs!$B$70))/MAX($B8-E$4,Inputs!$B$70))/(1+$B8)^(Valuation!$D$55-Valuation!$D$54)+(Valuation!$D$82-Valuation!$D$76))/Inputs!$B$15,0)</f>
        <v>10.568766401525</v>
      </c>
    </row>
    <row r="9" customFormat="false" ht="15" hidden="false" customHeight="true" outlineLevel="0" collapsed="false">
      <c r="B9" s="27" t="n">
        <f aca="false">Valuation!$D$47+0.01</f>
        <v>0.0898819733562527</v>
      </c>
      <c r="C9" s="24" t="n">
        <f aca="false">IFERROR((SUMPRODUCT(Valuation!$D$65:$M$65/(1+$B9)^(Valuation!$D$58:$M$58-Valuation!$D$54))+(Valuation!$M$63*(1+C$4)*(1-C$4/MAX($B9,C$4+Inputs!$B$70))/MAX($B9-C$4,Inputs!$B$70))/(1+$B9)^(Valuation!$D$55-Valuation!$D$54)+(Valuation!$D$82-Valuation!$D$76))/Inputs!$B$15,0)</f>
        <v>9.68842938435865</v>
      </c>
      <c r="D9" s="24" t="n">
        <f aca="false">IFERROR((SUMPRODUCT(Valuation!$D$65:$M$65/(1+$B9)^(Valuation!$D$58:$M$58-Valuation!$D$54))+(Valuation!$M$63*(1+D$4)*(1-D$4/MAX($B9,D$4+Inputs!$B$70))/MAX($B9-D$4,Inputs!$B$70))/(1+$B9)^(Valuation!$D$55-Valuation!$D$54)+(Valuation!$D$82-Valuation!$D$76))/Inputs!$B$15,0)</f>
        <v>9.72053688073713</v>
      </c>
      <c r="E9" s="24" t="n">
        <f aca="false">IFERROR((SUMPRODUCT(Valuation!$D$65:$M$65/(1+$B9)^(Valuation!$D$58:$M$58-Valuation!$D$54))+(Valuation!$M$63*(1+E$4)*(1-E$4/MAX($B9,E$4+Inputs!$B$70))/MAX($B9-E$4,Inputs!$B$70))/(1+$B9)^(Valuation!$D$55-Valuation!$D$54)+(Valuation!$D$82-Valuation!$D$76))/Inputs!$B$15,0)</f>
        <v>9.7526443771156</v>
      </c>
    </row>
    <row r="12" customFormat="false" ht="15" hidden="false" customHeight="true" outlineLevel="0" collapsed="false">
      <c r="B12" s="1" t="s">
        <v>16</v>
      </c>
      <c r="C12" s="28" t="n">
        <f aca="false">Inputs!B14</f>
        <v>24.5</v>
      </c>
    </row>
    <row r="13" customFormat="false" ht="15" hidden="false" customHeight="true" outlineLevel="0" collapsed="false">
      <c r="B13" s="1" t="s">
        <v>230</v>
      </c>
      <c r="C13" s="28" t="n">
        <f aca="false">Valuation!D83</f>
        <v>11.4538271570406</v>
      </c>
    </row>
  </sheetData>
  <mergeCells count="2">
    <mergeCell ref="B1:G1"/>
    <mergeCell ref="B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118"/>
  </cols>
  <sheetData>
    <row r="1" customFormat="false" ht="21.75" hidden="false" customHeight="true" outlineLevel="0" collapsed="false">
      <c r="B1" s="29" t="s">
        <v>231</v>
      </c>
    </row>
    <row r="3" customFormat="false" ht="15" hidden="false" customHeight="true" outlineLevel="0" collapsed="false">
      <c r="B3" s="30" t="s">
        <v>232</v>
      </c>
    </row>
    <row r="4" customFormat="false" ht="30" hidden="false" customHeight="true" outlineLevel="0" collapsed="false">
      <c r="B4" s="31" t="s">
        <v>233</v>
      </c>
    </row>
    <row r="5" customFormat="false" ht="30" hidden="false" customHeight="true" outlineLevel="0" collapsed="false">
      <c r="B5" s="31" t="s">
        <v>234</v>
      </c>
    </row>
    <row r="6" customFormat="false" ht="30" hidden="false" customHeight="true" outlineLevel="0" collapsed="false">
      <c r="B6" s="31" t="s">
        <v>235</v>
      </c>
    </row>
    <row r="7" customFormat="false" ht="30" hidden="false" customHeight="true" outlineLevel="0" collapsed="false">
      <c r="B7" s="31" t="s">
        <v>236</v>
      </c>
    </row>
    <row r="8" customFormat="false" ht="30" hidden="false" customHeight="true" outlineLevel="0" collapsed="false">
      <c r="B8" s="31" t="s">
        <v>237</v>
      </c>
    </row>
    <row r="9" customFormat="false" ht="30" hidden="false" customHeight="true" outlineLevel="0" collapsed="false">
      <c r="B9" s="31" t="s">
        <v>238</v>
      </c>
    </row>
    <row r="10" customFormat="false" ht="30" hidden="false" customHeight="true" outlineLevel="0" collapsed="false">
      <c r="B10" s="31" t="s">
        <v>239</v>
      </c>
    </row>
    <row r="12" customFormat="false" ht="15" hidden="false" customHeight="true" outlineLevel="0" collapsed="false">
      <c r="B12" s="30" t="s">
        <v>240</v>
      </c>
    </row>
    <row r="13" customFormat="false" ht="30" hidden="false" customHeight="true" outlineLevel="0" collapsed="false">
      <c r="B13" s="31" t="s">
        <v>241</v>
      </c>
    </row>
    <row r="15" customFormat="false" ht="15" hidden="false" customHeight="true" outlineLevel="0" collapsed="false">
      <c r="B15" s="30" t="s">
        <v>242</v>
      </c>
    </row>
    <row r="16" customFormat="false" ht="30" hidden="false" customHeight="true" outlineLevel="0" collapsed="false">
      <c r="B16" s="31" t="s">
        <v>243</v>
      </c>
    </row>
    <row r="18" customFormat="false" ht="15" hidden="false" customHeight="true" outlineLevel="0" collapsed="false">
      <c r="B18" s="30" t="s">
        <v>244</v>
      </c>
    </row>
    <row r="19" customFormat="false" ht="30" hidden="false" customHeight="true" outlineLevel="0" collapsed="false">
      <c r="B19" s="31" t="s">
        <v>245</v>
      </c>
    </row>
    <row r="20" customFormat="false" ht="30" hidden="false" customHeight="true" outlineLevel="0" collapsed="false">
      <c r="B20" s="31" t="s">
        <v>246</v>
      </c>
    </row>
    <row r="21" customFormat="false" ht="30" hidden="false" customHeight="true" outlineLevel="0" collapsed="false">
      <c r="B21" s="31" t="s">
        <v>247</v>
      </c>
    </row>
    <row r="22" customFormat="false" ht="30" hidden="false" customHeight="true" outlineLevel="0" collapsed="false">
      <c r="B22" s="31" t="s">
        <v>248</v>
      </c>
    </row>
    <row r="24" customFormat="false" ht="15" hidden="false" customHeight="true" outlineLevel="0" collapsed="false">
      <c r="B24" s="30" t="s">
        <v>249</v>
      </c>
    </row>
    <row r="25" customFormat="false" ht="30" hidden="false" customHeight="true" outlineLevel="0" collapsed="false">
      <c r="B25" s="31" t="s">
        <v>250</v>
      </c>
    </row>
    <row r="27" customFormat="false" ht="15" hidden="false" customHeight="true" outlineLevel="0" collapsed="false">
      <c r="B27" s="14" t="s">
        <v>251</v>
      </c>
    </row>
    <row r="28" customFormat="false" ht="15" hidden="false" customHeight="true" outlineLevel="0" collapsed="false">
      <c r="B28" s="1" t="s">
        <v>252</v>
      </c>
    </row>
    <row r="29" customFormat="false" ht="15" hidden="false" customHeight="true" outlineLevel="0" collapsed="false">
      <c r="B29" s="1" t="s">
        <v>253</v>
      </c>
    </row>
    <row r="30" customFormat="false" ht="15" hidden="false" customHeight="true" outlineLevel="0" collapsed="false">
      <c r="B30" s="1" t="s">
        <v>254</v>
      </c>
    </row>
    <row r="31" customFormat="false" ht="15" hidden="false" customHeight="true" outlineLevel="0" collapsed="false">
      <c r="B31" s="1" t="s">
        <v>255</v>
      </c>
    </row>
    <row r="32" customFormat="false" ht="15" hidden="false" customHeight="true" outlineLevel="0" collapsed="false">
      <c r="B32" s="1" t="s">
        <v>256</v>
      </c>
    </row>
    <row r="33" customFormat="false" ht="15" hidden="false" customHeight="true" outlineLevel="0" collapsed="false">
      <c r="B33" s="1" t="s">
        <v>257</v>
      </c>
    </row>
    <row r="35" customFormat="false" ht="15" hidden="false" customHeight="true" outlineLevel="0" collapsed="false">
      <c r="B35" s="14" t="s">
        <v>258</v>
      </c>
    </row>
    <row r="36" customFormat="false" ht="15" hidden="false" customHeight="true" outlineLevel="0" collapsed="false">
      <c r="B36" s="1" t="s">
        <v>259</v>
      </c>
    </row>
    <row r="37" customFormat="false" ht="15" hidden="false" customHeight="true" outlineLevel="0" collapsed="false">
      <c r="B37" s="1" t="s">
        <v>260</v>
      </c>
    </row>
    <row r="39" customFormat="false" ht="15" hidden="false" customHeight="false" outlineLevel="0" collapsed="false">
      <c r="B39" s="14" t="s">
        <v>261</v>
      </c>
    </row>
    <row r="40" customFormat="false" ht="15" hidden="false" customHeight="false" outlineLevel="0" collapsed="false">
      <c r="B40" s="1" t="s">
        <v>262</v>
      </c>
    </row>
    <row r="41" customFormat="false" ht="15" hidden="false" customHeight="false" outlineLevel="0" collapsed="false">
      <c r="B41" s="1" t="s">
        <v>263</v>
      </c>
    </row>
    <row r="42" customFormat="false" ht="15" hidden="false" customHeight="false" outlineLevel="0" collapsed="false">
      <c r="B42" s="1" t="s">
        <v>264</v>
      </c>
    </row>
    <row r="43" customFormat="false" ht="15" hidden="false" customHeight="false" outlineLevel="0" collapsed="false">
      <c r="B43" s="1" t="s">
        <v>265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2026-08-19T17:02:30Z</dcterms:created>
  <dc:creator>openpyxl</dc:creator>
  <dc:description/>
  <dc:language>en-US</dc:language>
  <cp:lastModifiedBy/>
  <dcterms:modified xsi:type="dcterms:W3CDTF">2026-08-29T08:43:42Z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